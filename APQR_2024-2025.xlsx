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Alex_User\Descargas\"/>
    </mc:Choice>
  </mc:AlternateContent>
  <xr:revisionPtr revIDLastSave="0" documentId="13_ncr:1_{2F7D8883-1F5A-4F8B-A7C7-EE90D83B16F3}" xr6:coauthVersionLast="47" xr6:coauthVersionMax="47" xr10:uidLastSave="{00000000-0000-0000-0000-000000000000}"/>
  <bookViews>
    <workbookView xWindow="1635" yWindow="1725" windowWidth="38700" windowHeight="15435" xr2:uid="{63E091B4-4DD9-43D5-A278-C1D1B55E3863}"/>
  </bookViews>
  <sheets>
    <sheet name="Tab_01" sheetId="14" r:id="rId1"/>
    <sheet name="Summary_Qry" sheetId="13" r:id="rId2"/>
    <sheet name="RAP 2025 Rev2" sheetId="9" r:id="rId3"/>
    <sheet name="C1" sheetId="3" r:id="rId4"/>
    <sheet name="C2" sheetId="7" r:id="rId5"/>
    <sheet name="C3" sheetId="8" r:id="rId6"/>
    <sheet name="C4" sheetId="10" r:id="rId7"/>
    <sheet name="Seguimiento" sheetId="12" r:id="rId8"/>
    <sheet name="Firmas y responsabilidades" sheetId="5" r:id="rId9"/>
  </sheets>
  <calcPr calcId="191029"/>
  <pivotCaches>
    <pivotCache cacheId="6" r:id="rId1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B_Records_2a2e7c26-8d4e-4792-994e-624070895560" name="DB_Records" connection="Query - DB_Records"/>
          <x15:modelTable id="SLC_Anexos_5dabc2fe-1f11-4574-8ade-e2ec0e30e530" name="SLC_Anexos" connection="Query - SLC_Anexos"/>
          <x15:modelTable id="SLC_Distribution_dbb3ab15-da54-49f6-bc42-76764c100646" name="SLC_Distribution" connection="Query - SLC_Distribution"/>
        </x15:modelTables>
        <x15:modelRelationships>
          <x15:modelRelationship fromTable="DB_Records" fromColumn="ANNEX" toTable="SLC_Anexos" toColumn="ANNEX"/>
          <x15:modelRelationship fromTable="SLC_Anexos" fromColumn="RESPONSIBLE AREA" toTable="SLC_Distribution" toColumn="AREA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2" i="12" l="1"/>
  <c r="AB31" i="12"/>
  <c r="Q31" i="12"/>
  <c r="O31" i="12"/>
  <c r="N31" i="12"/>
  <c r="N32" i="12" s="1"/>
  <c r="L31" i="12"/>
  <c r="J31" i="12"/>
  <c r="I31" i="12"/>
  <c r="AH30" i="12"/>
  <c r="AF30" i="12"/>
  <c r="AD30" i="12"/>
  <c r="AB30" i="12"/>
  <c r="Z30" i="12"/>
  <c r="X30" i="12"/>
  <c r="G16" i="12" s="1"/>
  <c r="V30" i="12"/>
  <c r="G18" i="12" s="1"/>
  <c r="T30" i="12"/>
  <c r="G17" i="12" s="1"/>
  <c r="S30" i="12"/>
  <c r="G15" i="12" s="1"/>
  <c r="Q30" i="12"/>
  <c r="O30" i="12"/>
  <c r="N30" i="12"/>
  <c r="L30" i="12"/>
  <c r="J30" i="12"/>
  <c r="J32" i="12" s="1"/>
  <c r="I30" i="12"/>
  <c r="I32" i="12" s="1"/>
  <c r="AH29" i="12"/>
  <c r="AH31" i="12" s="1"/>
  <c r="AF29" i="12"/>
  <c r="AF31" i="12" s="1"/>
  <c r="AD29" i="12"/>
  <c r="AD31" i="12" s="1"/>
  <c r="AB29" i="12"/>
  <c r="Z29" i="12"/>
  <c r="Z31" i="12" s="1"/>
  <c r="X29" i="12"/>
  <c r="X31" i="12" s="1"/>
  <c r="V29" i="12"/>
  <c r="V31" i="12" s="1"/>
  <c r="T29" i="12"/>
  <c r="T31" i="12" s="1"/>
  <c r="S29" i="12"/>
  <c r="S31" i="12" s="1"/>
  <c r="AF32" i="12" l="1"/>
  <c r="T32" i="12"/>
  <c r="V32" i="12"/>
  <c r="O32" i="12"/>
  <c r="Z32" i="12"/>
  <c r="AB32" i="12"/>
  <c r="AD32" i="12"/>
  <c r="AH32" i="12"/>
  <c r="Q32" i="12"/>
  <c r="L32" i="12"/>
  <c r="S32" i="12"/>
  <c r="G19" i="12"/>
  <c r="X32" i="12"/>
  <c r="Q21" i="10" l="1"/>
  <c r="Q20" i="10"/>
  <c r="Q19" i="10"/>
  <c r="Q18" i="10"/>
  <c r="M11" i="10"/>
  <c r="M10" i="10"/>
  <c r="M9" i="10"/>
  <c r="M8" i="10"/>
  <c r="M38" i="9" l="1"/>
  <c r="N38" i="9" s="1"/>
  <c r="L38" i="9"/>
  <c r="K38" i="9"/>
  <c r="J38" i="9"/>
  <c r="M37" i="9"/>
  <c r="N37" i="9" s="1"/>
  <c r="L37" i="9"/>
  <c r="K37" i="9"/>
  <c r="J37" i="9"/>
  <c r="M36" i="9"/>
  <c r="N36" i="9" s="1"/>
  <c r="L36" i="9"/>
  <c r="K36" i="9"/>
  <c r="J36" i="9"/>
  <c r="M35" i="9"/>
  <c r="N35" i="9" s="1"/>
  <c r="L35" i="9"/>
  <c r="K35" i="9"/>
  <c r="J35" i="9"/>
  <c r="M34" i="9"/>
  <c r="N34" i="9" s="1"/>
  <c r="L34" i="9"/>
  <c r="K34" i="9"/>
  <c r="J34" i="9"/>
  <c r="M33" i="9"/>
  <c r="N33" i="9" s="1"/>
  <c r="L33" i="9"/>
  <c r="K33" i="9"/>
  <c r="J33" i="9"/>
  <c r="M32" i="9"/>
  <c r="N32" i="9" s="1"/>
  <c r="L32" i="9"/>
  <c r="K32" i="9"/>
  <c r="J32" i="9"/>
  <c r="M31" i="9"/>
  <c r="N31" i="9" s="1"/>
  <c r="L31" i="9"/>
  <c r="K31" i="9"/>
  <c r="J31" i="9"/>
  <c r="M30" i="9"/>
  <c r="N30" i="9" s="1"/>
  <c r="L30" i="9"/>
  <c r="K30" i="9"/>
  <c r="J30" i="9"/>
  <c r="M29" i="9"/>
  <c r="N29" i="9" s="1"/>
  <c r="L29" i="9"/>
  <c r="K29" i="9"/>
  <c r="J29" i="9"/>
  <c r="M28" i="9"/>
  <c r="N28" i="9" s="1"/>
  <c r="L28" i="9"/>
  <c r="K28" i="9"/>
  <c r="J28" i="9"/>
  <c r="M27" i="9"/>
  <c r="N27" i="9" s="1"/>
  <c r="L27" i="9"/>
  <c r="K27" i="9"/>
  <c r="J27" i="9"/>
  <c r="M26" i="9"/>
  <c r="N26" i="9" s="1"/>
  <c r="L26" i="9"/>
  <c r="K26" i="9"/>
  <c r="J26" i="9"/>
  <c r="M25" i="9"/>
  <c r="N25" i="9" s="1"/>
  <c r="L25" i="9"/>
  <c r="K25" i="9"/>
  <c r="J25" i="9"/>
  <c r="M24" i="9"/>
  <c r="N24" i="9" s="1"/>
  <c r="L24" i="9"/>
  <c r="K24" i="9"/>
  <c r="J24" i="9"/>
  <c r="M23" i="9"/>
  <c r="N23" i="9" s="1"/>
  <c r="L23" i="9"/>
  <c r="K23" i="9"/>
  <c r="J23" i="9"/>
  <c r="M22" i="9"/>
  <c r="N22" i="9" s="1"/>
  <c r="L22" i="9"/>
  <c r="K22" i="9"/>
  <c r="J22" i="9"/>
  <c r="M21" i="9"/>
  <c r="N21" i="9" s="1"/>
  <c r="L21" i="9"/>
  <c r="K21" i="9"/>
  <c r="J21" i="9"/>
  <c r="M20" i="9"/>
  <c r="N20" i="9" s="1"/>
  <c r="L20" i="9"/>
  <c r="K20" i="9"/>
  <c r="J20" i="9"/>
  <c r="M19" i="9"/>
  <c r="N19" i="9" s="1"/>
  <c r="L19" i="9"/>
  <c r="K19" i="9"/>
  <c r="J19" i="9"/>
  <c r="M18" i="9"/>
  <c r="N18" i="9" s="1"/>
  <c r="L18" i="9"/>
  <c r="K18" i="9"/>
  <c r="J18" i="9"/>
  <c r="M17" i="9"/>
  <c r="N17" i="9" s="1"/>
  <c r="L17" i="9"/>
  <c r="K17" i="9"/>
  <c r="J17" i="9"/>
  <c r="M16" i="9"/>
  <c r="N16" i="9" s="1"/>
  <c r="L16" i="9"/>
  <c r="K16" i="9"/>
  <c r="J16" i="9"/>
  <c r="M14" i="9"/>
  <c r="N14" i="9" s="1"/>
  <c r="L14" i="9"/>
  <c r="K14" i="9"/>
  <c r="J14" i="9"/>
  <c r="M13" i="9"/>
  <c r="N13" i="9" s="1"/>
  <c r="L13" i="9"/>
  <c r="K13" i="9"/>
  <c r="J13" i="9"/>
  <c r="M12" i="9"/>
  <c r="N12" i="9" s="1"/>
  <c r="L12" i="9"/>
  <c r="K12" i="9"/>
  <c r="J12" i="9"/>
  <c r="M15" i="9"/>
  <c r="N15" i="9" s="1"/>
  <c r="L15" i="9"/>
  <c r="K15" i="9"/>
  <c r="J15" i="9"/>
  <c r="M40" i="9"/>
  <c r="N40" i="9" s="1"/>
  <c r="L40" i="9"/>
  <c r="K40" i="9"/>
  <c r="J40" i="9"/>
  <c r="M11" i="9"/>
  <c r="N11" i="9" s="1"/>
  <c r="L11" i="9"/>
  <c r="K11" i="9"/>
  <c r="J11" i="9"/>
  <c r="M10" i="9"/>
  <c r="N10" i="9" s="1"/>
  <c r="L10" i="9"/>
  <c r="K10" i="9"/>
  <c r="J10" i="9"/>
  <c r="M9" i="9"/>
  <c r="N9" i="9" s="1"/>
  <c r="L9" i="9"/>
  <c r="K9" i="9"/>
  <c r="J9" i="9"/>
  <c r="M8" i="9"/>
  <c r="N8" i="9" s="1"/>
  <c r="L8" i="9"/>
  <c r="K8" i="9"/>
  <c r="J8" i="9"/>
  <c r="M7" i="9"/>
  <c r="N7" i="9" s="1"/>
  <c r="L7" i="9"/>
  <c r="K7" i="9"/>
  <c r="J7" i="9"/>
  <c r="M6" i="9"/>
  <c r="N6" i="9" s="1"/>
  <c r="L6" i="9"/>
  <c r="K6" i="9"/>
  <c r="J6" i="9"/>
  <c r="M5" i="9"/>
  <c r="N5" i="9" s="1"/>
  <c r="L5" i="9"/>
  <c r="K5" i="9"/>
  <c r="J5" i="9"/>
  <c r="M4" i="9"/>
  <c r="N4" i="9" s="1"/>
  <c r="L4" i="9"/>
  <c r="K4" i="9"/>
  <c r="J4" i="9"/>
  <c r="M3" i="9"/>
  <c r="N3" i="9" s="1"/>
  <c r="L3" i="9"/>
  <c r="K3" i="9"/>
  <c r="J3" i="9"/>
  <c r="M2" i="9"/>
  <c r="N2" i="9" s="1"/>
  <c r="L2" i="9"/>
  <c r="K2" i="9"/>
  <c r="J2" i="9"/>
  <c r="O9" i="8" l="1"/>
  <c r="O8" i="8"/>
  <c r="O7" i="8"/>
  <c r="O6" i="8"/>
  <c r="P8" i="7" l="1"/>
  <c r="P9" i="7"/>
  <c r="P10" i="7"/>
  <c r="P11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Erik Huerta Marcelino</author>
    <author>Gloria Cabrera</author>
  </authors>
  <commentList>
    <comment ref="G10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Erik Huerta Marcelino:</t>
        </r>
        <r>
          <rPr>
            <sz val="9"/>
            <color indexed="81"/>
            <rFont val="Tahoma"/>
            <family val="2"/>
          </rPr>
          <t xml:space="preserve">
pendiente por entregar por luisa
</t>
        </r>
      </text>
    </comment>
    <comment ref="C19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Erik Huerta Marcelino:</t>
        </r>
        <r>
          <rPr>
            <sz val="9"/>
            <color indexed="81"/>
            <rFont val="Tahoma"/>
            <family val="2"/>
          </rPr>
          <t xml:space="preserve">
pendiente por entregar por luisa</t>
        </r>
      </text>
    </comment>
    <comment ref="N2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Erik Huerta Marcelino:</t>
        </r>
        <r>
          <rPr>
            <sz val="9"/>
            <color indexed="81"/>
            <rFont val="Tahoma"/>
            <family val="2"/>
          </rPr>
          <t xml:space="preserve">
pendiente por entregar por luisa</t>
        </r>
      </text>
    </comment>
    <comment ref="O2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Erik Huerta Marcelino:</t>
        </r>
        <r>
          <rPr>
            <sz val="9"/>
            <color indexed="81"/>
            <rFont val="Tahoma"/>
            <family val="2"/>
          </rPr>
          <t xml:space="preserve">
pendiente por entregar por luisa
</t>
        </r>
      </text>
    </comment>
    <comment ref="C23" authorId="1" shapeId="0" xr:uid="{00000000-0006-0000-0400-000005000000}">
      <text>
        <r>
          <rPr>
            <b/>
            <sz val="9"/>
            <color indexed="81"/>
            <rFont val="Tahoma"/>
            <family val="2"/>
          </rPr>
          <t>Gloria Cabrera:</t>
        </r>
        <r>
          <rPr>
            <sz val="9"/>
            <color indexed="81"/>
            <rFont val="Tahoma"/>
            <family val="2"/>
          </rPr>
          <t xml:space="preserve">
Revisar con Diana tema de las plantas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Erik Huerta Marcelino</author>
  </authors>
  <commentList>
    <comment ref="D5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Erik Huerta Marcelino:</t>
        </r>
        <r>
          <rPr>
            <sz val="9"/>
            <color indexed="81"/>
            <rFont val="Tahoma"/>
            <family val="2"/>
          </rPr>
          <t xml:space="preserve">
REVISIONES</t>
        </r>
      </text>
    </comment>
    <comment ref="C20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Erik Huerta Marcelino:</t>
        </r>
        <r>
          <rPr>
            <sz val="9"/>
            <color indexed="81"/>
            <rFont val="Tahoma"/>
            <family val="2"/>
          </rPr>
          <t xml:space="preserve">
CORRECION DE NOMBRE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Gloria Cabrera</author>
  </authors>
  <commentList>
    <comment ref="C23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Gloria Cabrera:</t>
        </r>
        <r>
          <rPr>
            <sz val="9"/>
            <color indexed="81"/>
            <rFont val="Tahoma"/>
            <family val="2"/>
          </rPr>
          <t xml:space="preserve">
Revisar con Diana tema de las plantas
</t>
        </r>
      </text>
    </comment>
    <comment ref="D23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Gloria Cabrera:</t>
        </r>
        <r>
          <rPr>
            <sz val="9"/>
            <color indexed="81"/>
            <rFont val="Tahoma"/>
            <family val="2"/>
          </rPr>
          <t xml:space="preserve">
Revisar con Diana tema de las plantas
</t>
        </r>
      </text>
    </comment>
    <comment ref="E23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Gloria Cabrera:</t>
        </r>
        <r>
          <rPr>
            <sz val="9"/>
            <color indexed="81"/>
            <rFont val="Tahoma"/>
            <family val="2"/>
          </rPr>
          <t xml:space="preserve">
Revisar con Diana tema de las plantas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Erik Huerta Marcelino</author>
    <author>Gloria Cabrera</author>
  </authors>
  <commentList>
    <comment ref="J9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Erik Huerta Marcelino:</t>
        </r>
        <r>
          <rPr>
            <sz val="9"/>
            <color indexed="81"/>
            <rFont val="Tahoma"/>
            <family val="2"/>
          </rPr>
          <t xml:space="preserve">
REVISIONES</t>
        </r>
      </text>
    </comment>
    <comment ref="G13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Erik Huerta Marcelino:</t>
        </r>
        <r>
          <rPr>
            <sz val="9"/>
            <color indexed="81"/>
            <rFont val="Tahoma"/>
            <family val="2"/>
          </rPr>
          <t xml:space="preserve">
pendiente por entregar por luisa
</t>
        </r>
      </text>
    </comment>
    <comment ref="C22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Erik Huerta Marcelino:</t>
        </r>
        <r>
          <rPr>
            <sz val="9"/>
            <color indexed="81"/>
            <rFont val="Tahoma"/>
            <family val="2"/>
          </rPr>
          <t xml:space="preserve">
pendiente por entregar por luisa</t>
        </r>
      </text>
    </comment>
    <comment ref="C26" authorId="1" shapeId="0" xr:uid="{00000000-0006-0000-0700-000004000000}">
      <text>
        <r>
          <rPr>
            <b/>
            <sz val="9"/>
            <color indexed="81"/>
            <rFont val="Tahoma"/>
            <family val="2"/>
          </rPr>
          <t>Gloria Cabrera:</t>
        </r>
        <r>
          <rPr>
            <sz val="9"/>
            <color indexed="81"/>
            <rFont val="Tahoma"/>
            <family val="2"/>
          </rPr>
          <t xml:space="preserve">
Revisar con Diana tema de las plantas
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C86BC0-754C-4015-8679-51C72A067252}" name="Query - DB_Records" description="Connection to the 'DB_Records' query in the workbook." type="100" refreshedVersion="8" minRefreshableVersion="5">
    <extLst>
      <ext xmlns:x15="http://schemas.microsoft.com/office/spreadsheetml/2010/11/main" uri="{DE250136-89BD-433C-8126-D09CA5730AF9}">
        <x15:connection id="d4963c24-1295-447b-8a8c-41dab3cd759e"/>
      </ext>
    </extLst>
  </connection>
  <connection id="2" xr16:uid="{C692DF58-8780-4329-A555-447BFFE272DF}" name="Query - SLC_Anexos" description="Connection to the 'SLC_Anexos' query in the workbook." type="100" refreshedVersion="8" minRefreshableVersion="5">
    <extLst>
      <ext xmlns:x15="http://schemas.microsoft.com/office/spreadsheetml/2010/11/main" uri="{DE250136-89BD-433C-8126-D09CA5730AF9}">
        <x15:connection id="08874f75-34f0-427f-94cf-6c14868ba64a"/>
      </ext>
    </extLst>
  </connection>
  <connection id="3" xr16:uid="{24E9570E-5057-4895-B4B4-DA787C03AA9C}" name="Query - SLC_Distribution" description="Connection to the 'SLC_Distribution' query in the workbook." type="100" refreshedVersion="8" minRefreshableVersion="5">
    <extLst>
      <ext xmlns:x15="http://schemas.microsoft.com/office/spreadsheetml/2010/11/main" uri="{DE250136-89BD-433C-8126-D09CA5730AF9}">
        <x15:connection id="68c0e08e-5211-4f7c-9da7-0797df58b60b"/>
      </ext>
    </extLst>
  </connection>
  <connection id="4" xr16:uid="{7F3C04EC-327F-4E2D-880B-4E0401EE5527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<sst xmlns="http://schemas.openxmlformats.org/spreadsheetml/2006/main" count="1519" uniqueCount="278">
  <si>
    <t>Ciclo</t>
  </si>
  <si>
    <t>Producto</t>
  </si>
  <si>
    <t>Códigos</t>
  </si>
  <si>
    <t>Siglas</t>
  </si>
  <si>
    <t>Planta</t>
  </si>
  <si>
    <t>Periodo RAP inicio</t>
  </si>
  <si>
    <t>Periodo RAP fin</t>
  </si>
  <si>
    <t>Fecha límite entrega de Anexos                                  8 semanas                          (56 días)</t>
  </si>
  <si>
    <t>Fecha límite de firma reporte 120d</t>
  </si>
  <si>
    <t>Días cubiertos</t>
  </si>
  <si>
    <t>Meses cubiertos</t>
  </si>
  <si>
    <t>Carboplatino</t>
  </si>
  <si>
    <t>40272, 46272</t>
  </si>
  <si>
    <t>CBP</t>
  </si>
  <si>
    <t>P07</t>
  </si>
  <si>
    <t>Furoato de Mometasona</t>
  </si>
  <si>
    <t>FMT</t>
  </si>
  <si>
    <t>P01&amp;P02</t>
  </si>
  <si>
    <t>Furoato de Mometasona Monohidrato</t>
  </si>
  <si>
    <t>40400, 46400</t>
  </si>
  <si>
    <t>FMM</t>
  </si>
  <si>
    <t>Oxaliplatino</t>
  </si>
  <si>
    <t>OXP</t>
  </si>
  <si>
    <t>P10</t>
  </si>
  <si>
    <t>Promiestrieno</t>
  </si>
  <si>
    <t>41000, 42000</t>
  </si>
  <si>
    <t>PTR</t>
  </si>
  <si>
    <t>Succinato de Ribociclib</t>
  </si>
  <si>
    <t>RBC</t>
  </si>
  <si>
    <t>P08</t>
  </si>
  <si>
    <t>Sunitinib Base/ Sunitinib Maleato/ Sunitinib Tamizado</t>
  </si>
  <si>
    <t>SUN</t>
  </si>
  <si>
    <t>Amcinonide</t>
  </si>
  <si>
    <t>AND</t>
  </si>
  <si>
    <t>Bromuro de Rocuronium</t>
  </si>
  <si>
    <t>RCN</t>
  </si>
  <si>
    <t>P09</t>
  </si>
  <si>
    <t>Bromuro de Umeclidinium</t>
  </si>
  <si>
    <t>49000, 49010</t>
  </si>
  <si>
    <t>UMC</t>
  </si>
  <si>
    <t>Acetato de Clormadinona</t>
  </si>
  <si>
    <t>ACA</t>
  </si>
  <si>
    <t>Docetaxel</t>
  </si>
  <si>
    <t>40360, 40660, 43420</t>
  </si>
  <si>
    <t>DCT</t>
  </si>
  <si>
    <t>Esilato de Nintedanib</t>
  </si>
  <si>
    <t>47200, 47100, 46000</t>
  </si>
  <si>
    <t>NTD</t>
  </si>
  <si>
    <t>Furoato de Fluticasona</t>
  </si>
  <si>
    <t>43370, 43430, 43440, 43460</t>
  </si>
  <si>
    <t>FLF</t>
  </si>
  <si>
    <t>5-Fluorouracil</t>
  </si>
  <si>
    <t>40550, 40500, 46500</t>
  </si>
  <si>
    <t>5-FU</t>
  </si>
  <si>
    <t>P12</t>
  </si>
  <si>
    <t>Aztreonam</t>
  </si>
  <si>
    <t>AZT</t>
  </si>
  <si>
    <t>P03</t>
  </si>
  <si>
    <t>Clorhidrato de Erlotinib Forma A</t>
  </si>
  <si>
    <t>43407, 43400</t>
  </si>
  <si>
    <t>ERT-A</t>
  </si>
  <si>
    <t>Vilanterol</t>
  </si>
  <si>
    <t>43500, 43510</t>
  </si>
  <si>
    <t>VTL</t>
  </si>
  <si>
    <t>P09/P08</t>
  </si>
  <si>
    <t>Acetato de Parametasona</t>
  </si>
  <si>
    <t>PMT</t>
  </si>
  <si>
    <t>Budesonide</t>
  </si>
  <si>
    <t>40188, 46188</t>
  </si>
  <si>
    <t>BDN</t>
  </si>
  <si>
    <t>Clorhidrato de Erlotinib Forma B</t>
  </si>
  <si>
    <t>43401, 43408</t>
  </si>
  <si>
    <t>ERT-B</t>
  </si>
  <si>
    <t>Valerato de Dexametasona</t>
  </si>
  <si>
    <t>VDT</t>
  </si>
  <si>
    <t>Dipropionato de Alclometasona</t>
  </si>
  <si>
    <t>40316, 46316</t>
  </si>
  <si>
    <t>DAM</t>
  </si>
  <si>
    <t>Letrozol</t>
  </si>
  <si>
    <t>LTZ</t>
  </si>
  <si>
    <t>P05A3</t>
  </si>
  <si>
    <t>Propionato de Fluticasona</t>
  </si>
  <si>
    <t>43360, 43365</t>
  </si>
  <si>
    <t>PFC</t>
  </si>
  <si>
    <t>Acetato de Ciproterona</t>
  </si>
  <si>
    <t>ACT</t>
  </si>
  <si>
    <t>Acetato de Megestrol</t>
  </si>
  <si>
    <t>40109, 40110, 40108</t>
  </si>
  <si>
    <t>AMG</t>
  </si>
  <si>
    <t>P01&amp;P02/P09</t>
  </si>
  <si>
    <t>Cisplatino</t>
  </si>
  <si>
    <t>CSP</t>
  </si>
  <si>
    <t>Clorhidrato de Olodaterol</t>
  </si>
  <si>
    <t>ODT</t>
  </si>
  <si>
    <t>Acetato de Abiraterona</t>
  </si>
  <si>
    <t>44500, 44505, 44510, 44520, 46520</t>
  </si>
  <si>
    <t>ABR</t>
  </si>
  <si>
    <t>P01&amp;P02/P09/ P04</t>
  </si>
  <si>
    <t>Azacitidina</t>
  </si>
  <si>
    <t>AZD</t>
  </si>
  <si>
    <t>Clorhidrato de Gemcitabina</t>
  </si>
  <si>
    <t>GEM</t>
  </si>
  <si>
    <t>Prednicarbato</t>
  </si>
  <si>
    <t>PCB</t>
  </si>
  <si>
    <t>P06 /P04</t>
  </si>
  <si>
    <t>Acetato de Medroxiprogesterona</t>
  </si>
  <si>
    <t>40085, 40090, 40092, 40082, 40081</t>
  </si>
  <si>
    <t>AMP</t>
  </si>
  <si>
    <t>Afatinib Dimaleato</t>
  </si>
  <si>
    <t>40355, 41355</t>
  </si>
  <si>
    <t>AFT</t>
  </si>
  <si>
    <t>Propionato de Deprodona</t>
  </si>
  <si>
    <t>PDD</t>
  </si>
  <si>
    <t>Aztreonam (Galenicum)</t>
  </si>
  <si>
    <t>N/A</t>
  </si>
  <si>
    <t xml:space="preserve">Clorhidrato de Tivozanib </t>
  </si>
  <si>
    <t>48100, 48105</t>
  </si>
  <si>
    <t>TVZ</t>
  </si>
  <si>
    <t>P10A</t>
  </si>
  <si>
    <t>Periodo 2023-2024</t>
  </si>
  <si>
    <t>Entregado</t>
  </si>
  <si>
    <t>Pendiente</t>
  </si>
  <si>
    <t>Ruta de síntesis</t>
  </si>
  <si>
    <t>MS&amp;T</t>
  </si>
  <si>
    <t>Revisión de tendencias de parámetros críticos deproceso, controles en proceso críticos y rendimientos</t>
  </si>
  <si>
    <t>PR</t>
  </si>
  <si>
    <t>Material de empaque primario/ SM/ KASM</t>
  </si>
  <si>
    <t>QA</t>
  </si>
  <si>
    <t>Estabilidades</t>
  </si>
  <si>
    <t>QC</t>
  </si>
  <si>
    <t>Resultados y gráficos de tendencias de análisis de PT y controles en proceso críticos</t>
  </si>
  <si>
    <t>Controles de cambio</t>
  </si>
  <si>
    <t>QS</t>
  </si>
  <si>
    <t>Resultados OOS y OOT</t>
  </si>
  <si>
    <t>Desviaciones</t>
  </si>
  <si>
    <t>Quejas</t>
  </si>
  <si>
    <t>Retiro del producto del mercado</t>
  </si>
  <si>
    <t>Calificación de desempeño del proceso de proceso</t>
  </si>
  <si>
    <t>Estatus de equipos y servicios</t>
  </si>
  <si>
    <t>IN</t>
  </si>
  <si>
    <t>Devoluciones</t>
  </si>
  <si>
    <t>Proveedores de servicios analíticos</t>
  </si>
  <si>
    <t>Acuerdos de calidad con fabricantes y provedores de servicios analíticos</t>
  </si>
  <si>
    <t>Revisión de muestras de retención</t>
  </si>
  <si>
    <t>Mantenimiento del estado validado métodos analíticos</t>
  </si>
  <si>
    <t>Evaluación de riesgo para detección de posible interrupción de suministro de producto</t>
  </si>
  <si>
    <t>QS/SC</t>
  </si>
  <si>
    <t>Comentarios</t>
  </si>
  <si>
    <t xml:space="preserve">       </t>
  </si>
  <si>
    <t>40397, 40387</t>
  </si>
  <si>
    <t>SRB/SRM</t>
  </si>
  <si>
    <t>40700, 40800</t>
  </si>
  <si>
    <t>41600/ 41610/ 41620</t>
  </si>
  <si>
    <t xml:space="preserve">PR </t>
  </si>
  <si>
    <t>PR P04</t>
  </si>
  <si>
    <t>PR P05</t>
  </si>
  <si>
    <t>PR P07</t>
  </si>
  <si>
    <t>PR P01-02</t>
  </si>
  <si>
    <t>PR P08-04</t>
  </si>
  <si>
    <t>PR P08</t>
  </si>
  <si>
    <t>41600 41610/ 41620</t>
  </si>
  <si>
    <t>40178, 43178</t>
  </si>
  <si>
    <t>40178, 46178, 43178</t>
  </si>
  <si>
    <t>41600 / 41610/ 41620</t>
  </si>
  <si>
    <r>
      <t xml:space="preserve">43370, 43430, 43440, </t>
    </r>
    <r>
      <rPr>
        <sz val="9"/>
        <color rgb="FFFF0000"/>
        <rFont val="Calibri"/>
        <family val="2"/>
        <scheme val="minor"/>
      </rPr>
      <t>43460</t>
    </r>
  </si>
  <si>
    <t xml:space="preserve"> </t>
  </si>
  <si>
    <t>01mar2024-29feb2025</t>
  </si>
  <si>
    <t>01 abr 2024 - 31 mar 2025</t>
  </si>
  <si>
    <t>Se amplia a 13 meses por CCM en revisión de baja de producto</t>
  </si>
  <si>
    <t>Se revisará la fecha de inicio y fin de periodo, una vez que se tengan lotes comerciales</t>
  </si>
  <si>
    <t>PR P02</t>
  </si>
  <si>
    <t>PR P09</t>
  </si>
  <si>
    <t>ANEXOS FALTANTES</t>
  </si>
  <si>
    <t>P04</t>
  </si>
  <si>
    <t xml:space="preserve">Fecha límite entrega de Anexos                                  8 semanas                         </t>
  </si>
  <si>
    <t>Anexos Ciclo 3 2024-2025</t>
  </si>
  <si>
    <t>Información ciclo 04/ 2025</t>
  </si>
  <si>
    <t>01 May 2024 - 30 Abr 2025</t>
  </si>
  <si>
    <t>PR 08</t>
  </si>
  <si>
    <t>Anexos ciclo 02 2025- 25Abr2025</t>
  </si>
  <si>
    <t>DRAFT</t>
  </si>
  <si>
    <t>REPORTE FINAL</t>
  </si>
  <si>
    <t>APQRs</t>
  </si>
  <si>
    <t>CICLO 2: 01 Mar 2024-29 Feb 2025 
-&gt; 25 Abr 2025</t>
  </si>
  <si>
    <t>40360, 40660, 
43420</t>
  </si>
  <si>
    <t>47200, 47100, 
46000</t>
  </si>
  <si>
    <t>41600 41610/
 41620</t>
  </si>
  <si>
    <r>
      <t xml:space="preserve">43370, 43430, 
43440, </t>
    </r>
    <r>
      <rPr>
        <sz val="8"/>
        <color rgb="FFFF0000"/>
        <rFont val="Calibri"/>
        <family val="2"/>
        <scheme val="minor"/>
      </rPr>
      <t>43460</t>
    </r>
  </si>
  <si>
    <t>PR -08/ P04</t>
  </si>
  <si>
    <t>Fecha acordada*</t>
  </si>
  <si>
    <t>CICLO 3  -&gt; 26 May 2025 
01 Abr 2024 - 31 Mar 2025</t>
  </si>
  <si>
    <t>CICLO 4 -&gt; 25 Jun 2025
01 May 2024 - 30 Abr 2025</t>
  </si>
  <si>
    <t>Ciclo 5 &gt; 26 Jul 2025</t>
  </si>
  <si>
    <t>Ciclo 6 &gt; 25 Ago 2025</t>
  </si>
  <si>
    <t>Ciclo 7 &gt; 25 Sep 2025</t>
  </si>
  <si>
    <t>01 May 2024 - 31 May 2025</t>
  </si>
  <si>
    <t>01 Jun 2024 - 31 May 2025</t>
  </si>
  <si>
    <t>01 Jul 2024 - 30 Jun 2025</t>
  </si>
  <si>
    <t>Pendiente AGO</t>
  </si>
  <si>
    <t>Pendiente &gt; 1 mes</t>
  </si>
  <si>
    <t>P01&amp;02</t>
  </si>
  <si>
    <t>P02</t>
  </si>
  <si>
    <t>Cump.</t>
  </si>
  <si>
    <t>Total</t>
  </si>
  <si>
    <t>Entregaods</t>
  </si>
  <si>
    <t>Pendientes</t>
  </si>
  <si>
    <t>%Entregados</t>
  </si>
  <si>
    <t>%Pendientes</t>
  </si>
  <si>
    <t>- Elab: Ismael Valois Escamilla
- Revi: Alejandro Guillen Torres</t>
  </si>
  <si>
    <t>Planta 01:
- Elab: Gerardo Martinez
- Rev: Ivan Alejandro Najera Reyes</t>
  </si>
  <si>
    <t xml:space="preserve"> - Elab: Sandra Jocelin Chavez Zepeda
- Rev: Ana Fernanda de Jesus
- Aprov: Carlos Gerardo Rodarte</t>
  </si>
  <si>
    <t xml:space="preserve"> - Elab: Maria Luisa Rosales Jimenez
- Rev: Jorge Luis Rojo Portillo
- Aprov: Laura Aramburo Rodriguez</t>
  </si>
  <si>
    <t>- Elab: Berenice Garcia
- Rev: Carlos Rodarte</t>
  </si>
  <si>
    <t>- Elab: Irma Bobadilla Cortes
- Rev: Carlos Rodarte</t>
  </si>
  <si>
    <t>- Elab: Valeria Fierro
- Rev: Carlos Rodarte</t>
  </si>
  <si>
    <t>- Elab: Luis Tellez
- Rev: Synthia Mendez</t>
  </si>
  <si>
    <t>- Elab: Amy Gaitan
- Rev: Osvaldo Lopez
Aprov: Synthia Mendez</t>
  </si>
  <si>
    <t>- Elab: Yael Benitez
- Rev: Synthia Mendez
Aprov: Carlos Rodarte</t>
  </si>
  <si>
    <t xml:space="preserve"> - Elab: Maria Luisa Rosales Jimenez
- Rev: Ana Fernand de Jesus Ordonez
- Aprov: Laura Aramburo Rodriguez</t>
  </si>
  <si>
    <t xml:space="preserve"> - Elab: Ana Fernand de Jesus Ordonez
- Aprov: Carmen Daniela Castro Arce</t>
  </si>
  <si>
    <t>- Elab: Ubaldo Jimenez
- Rev: Carlos Rodarte</t>
  </si>
  <si>
    <t>- Elab: Nancy Resendiz/Angel Rodriguez
- Rev: Alejandro Guillen
Aprov: Synthia Mendez</t>
  </si>
  <si>
    <t>- Elab: Diana Martinez
- Carlos Rodarte</t>
  </si>
  <si>
    <t>Planta 03:
- Elab: Javier Ronquillo
- Rev: Orlando Regalado</t>
  </si>
  <si>
    <t xml:space="preserve"> - Elab: Susana Martinez Luna/Rebeca Reynoso Escobar
- Aprov: Rebeca Reynoso Escobar/ Laura Aramburo</t>
  </si>
  <si>
    <t xml:space="preserve"> - Elab: Daniel Mejia
- Rev: Synthia Mendez/ Nora Andrade</t>
  </si>
  <si>
    <t>P04/P08</t>
  </si>
  <si>
    <t>P12
Mario y antonio velazque</t>
  </si>
  <si>
    <t>QA
Sandra cha y carlos</t>
  </si>
  <si>
    <t>QS
Nora, sintya, erik, esmer</t>
  </si>
  <si>
    <t>QA
irma y carlos rod</t>
  </si>
  <si>
    <t>MS&amp;T
jose reyes
alejandro gui</t>
  </si>
  <si>
    <t>QC
Rebeca  reyno
laura aram</t>
  </si>
  <si>
    <t>Carlos.Rodarte@tapi.com</t>
  </si>
  <si>
    <t>Carlos Rodarte</t>
  </si>
  <si>
    <t>Irma Bobadilla</t>
  </si>
  <si>
    <t>Irma.Bobadilla@tapi.com</t>
  </si>
  <si>
    <t>Sandra Chavez Zepeda</t>
  </si>
  <si>
    <t>Sandra.ChavezZepeda@tapi.com</t>
  </si>
  <si>
    <t>Gloria Cabrera</t>
  </si>
  <si>
    <t>Gloria.Cabrera01@tapi.com</t>
  </si>
  <si>
    <t>Nora Andrade</t>
  </si>
  <si>
    <t>Nora.Andrade@tapi.com</t>
  </si>
  <si>
    <t>Anexo</t>
  </si>
  <si>
    <t>Synthia.Mendez@tapi.com</t>
  </si>
  <si>
    <t>Synthia Mendez</t>
  </si>
  <si>
    <t>Erik Huerta</t>
  </si>
  <si>
    <t>Erik.Huerta@tapi.com</t>
  </si>
  <si>
    <t>Rebeca Reynoso</t>
  </si>
  <si>
    <t>Rebeca.Reynoso@tapi.com</t>
  </si>
  <si>
    <t>Laura Aramburo</t>
  </si>
  <si>
    <t>Laura.Aramburo@tapi.com</t>
  </si>
  <si>
    <t>Alejandro Guillen</t>
  </si>
  <si>
    <t>Alejandro.Guillen@tapi.com</t>
  </si>
  <si>
    <t>Jose Reyes</t>
  </si>
  <si>
    <t>Jose.Reyes02@tapi.com</t>
  </si>
  <si>
    <t>Mario.Romero01@tapi.com</t>
  </si>
  <si>
    <t>Mario Romero</t>
  </si>
  <si>
    <t>Emisión de reporte 90 dias</t>
  </si>
  <si>
    <t>P01&amp;P02/P04</t>
  </si>
  <si>
    <t>P04&amp;P08/P09</t>
  </si>
  <si>
    <t>P04&amp;P08</t>
  </si>
  <si>
    <t>CICLE</t>
  </si>
  <si>
    <t>CODE</t>
  </si>
  <si>
    <t>API</t>
  </si>
  <si>
    <t>ANNEX</t>
  </si>
  <si>
    <t>PLANT</t>
  </si>
  <si>
    <t>40190</t>
  </si>
  <si>
    <t>40180</t>
  </si>
  <si>
    <t>P04&amp;P08/P12</t>
  </si>
  <si>
    <t>DESCRIPTION</t>
  </si>
  <si>
    <t>Sum of Total Pending</t>
  </si>
  <si>
    <t>RESPONSIBLE AREA</t>
  </si>
  <si>
    <t>Correos concatenados</t>
  </si>
  <si>
    <t>arosasr754@alumno.uaemex.mx</t>
  </si>
  <si>
    <t>40058</t>
  </si>
  <si>
    <t>P04/P09</t>
  </si>
  <si>
    <t>40150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</si>
</sst>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color theme="2" tint="-0.749992370372631"/>
      <name val="Calibri"/>
      <family val="2"/>
      <scheme val="minor"/>
    </font>
    <font>
      <b/>
      <sz val="10"/>
      <color rgb="FF000000"/>
      <name val="Calibri"/>
      <family val="2"/>
    </font>
    <font>
      <b/>
      <sz val="10"/>
      <color rgb="FF548235"/>
      <name val="Calibri"/>
      <family val="2"/>
    </font>
    <font>
      <b/>
      <sz val="10"/>
      <color rgb="FFFF0000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theme="1" tint="0.1499984740745262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9" tint="-0.249977111117893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2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theme="7" tint="-0.249977111117893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sz val="8"/>
      <color rgb="FFFF0000"/>
      <name val="Calibri"/>
      <family val="2"/>
      <scheme val="minor"/>
    </font>
    <font>
      <sz val="10"/>
      <color theme="5" tint="-0.249977111117893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FF99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696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EBFF"/>
        <bgColor indexed="64"/>
      </patternFill>
    </fill>
    <fill>
      <patternFill patternType="solid">
        <fgColor rgb="FFD9FFFF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C6EFCE"/>
      </patternFill>
    </fill>
    <fill>
      <patternFill patternType="solid">
        <fgColor rgb="FFFFFFCC"/>
      </patternFill>
    </fill>
    <fill>
      <patternFill patternType="solid">
        <fgColor rgb="FFFF7C8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15" fillId="18" borderId="0" applyNumberFormat="0" applyBorder="0" applyAlignment="0" applyProtection="0"/>
    <xf numFmtId="0" fontId="14" fillId="19" borderId="8" applyNumberFormat="0" applyFont="0" applyAlignment="0" applyProtection="0"/>
    <xf numFmtId="9" fontId="14" fillId="0" borderId="0" applyFont="0" applyFill="0" applyBorder="0" applyAlignment="0" applyProtection="0"/>
    <xf numFmtId="0" fontId="37" fillId="0" borderId="0" applyNumberFormat="0" applyFill="0" applyBorder="0" applyAlignment="0" applyProtection="0"/>
  </cellStyleXfs>
  <cellXfs count="454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/>
    <xf numFmtId="15" fontId="5" fillId="2" borderId="1" xfId="0" applyNumberFormat="1" applyFont="1" applyFill="1" applyBorder="1" applyAlignment="1">
      <alignment horizontal="center" vertical="center"/>
    </xf>
    <xf numFmtId="15" fontId="6" fillId="3" borderId="1" xfId="0" applyNumberFormat="1" applyFont="1" applyFill="1" applyBorder="1" applyAlignment="1">
      <alignment horizontal="center"/>
    </xf>
    <xf numFmtId="15" fontId="6" fillId="4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5" fillId="6" borderId="1" xfId="0" applyFont="1" applyFill="1" applyBorder="1"/>
    <xf numFmtId="0" fontId="5" fillId="6" borderId="1" xfId="0" applyFont="1" applyFill="1" applyBorder="1" applyAlignment="1">
      <alignment horizontal="left"/>
    </xf>
    <xf numFmtId="0" fontId="5" fillId="6" borderId="1" xfId="0" applyFont="1" applyFill="1" applyBorder="1" applyAlignment="1">
      <alignment horizontal="center"/>
    </xf>
    <xf numFmtId="15" fontId="5" fillId="6" borderId="1" xfId="0" applyNumberFormat="1" applyFont="1" applyFill="1" applyBorder="1"/>
    <xf numFmtId="0" fontId="5" fillId="8" borderId="1" xfId="0" applyFont="1" applyFill="1" applyBorder="1" applyAlignment="1">
      <alignment horizontal="center" vertical="center"/>
    </xf>
    <xf numFmtId="0" fontId="5" fillId="8" borderId="1" xfId="0" applyFont="1" applyFill="1" applyBorder="1"/>
    <xf numFmtId="0" fontId="5" fillId="8" borderId="1" xfId="0" applyFont="1" applyFill="1" applyBorder="1" applyAlignment="1">
      <alignment horizontal="left"/>
    </xf>
    <xf numFmtId="0" fontId="5" fillId="8" borderId="1" xfId="0" applyFont="1" applyFill="1" applyBorder="1" applyAlignment="1">
      <alignment horizontal="center"/>
    </xf>
    <xf numFmtId="15" fontId="5" fillId="8" borderId="1" xfId="0" applyNumberFormat="1" applyFont="1" applyFill="1" applyBorder="1"/>
    <xf numFmtId="1" fontId="5" fillId="8" borderId="1" xfId="0" applyNumberFormat="1" applyFont="1" applyFill="1" applyBorder="1"/>
    <xf numFmtId="0" fontId="5" fillId="9" borderId="1" xfId="0" applyFont="1" applyFill="1" applyBorder="1" applyAlignment="1">
      <alignment horizontal="center" vertical="center"/>
    </xf>
    <xf numFmtId="0" fontId="5" fillId="9" borderId="1" xfId="0" applyFont="1" applyFill="1" applyBorder="1"/>
    <xf numFmtId="0" fontId="5" fillId="9" borderId="1" xfId="0" applyFont="1" applyFill="1" applyBorder="1" applyAlignment="1">
      <alignment horizontal="center"/>
    </xf>
    <xf numFmtId="15" fontId="5" fillId="9" borderId="1" xfId="0" applyNumberFormat="1" applyFont="1" applyFill="1" applyBorder="1"/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5" fontId="8" fillId="8" borderId="1" xfId="0" applyNumberFormat="1" applyFont="1" applyFill="1" applyBorder="1" applyAlignment="1">
      <alignment horizontal="center"/>
    </xf>
    <xf numFmtId="0" fontId="10" fillId="0" borderId="5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17" borderId="7" xfId="0" applyFont="1" applyFill="1" applyBorder="1" applyAlignment="1">
      <alignment horizontal="center" vertical="center"/>
    </xf>
    <xf numFmtId="0" fontId="12" fillId="14" borderId="7" xfId="0" applyFont="1" applyFill="1" applyBorder="1" applyAlignment="1">
      <alignment horizontal="center" vertical="center"/>
    </xf>
    <xf numFmtId="0" fontId="0" fillId="0" borderId="4" xfId="0" applyBorder="1"/>
    <xf numFmtId="0" fontId="17" fillId="0" borderId="4" xfId="0" applyFont="1" applyBorder="1" applyAlignment="1">
      <alignment horizontal="center"/>
    </xf>
    <xf numFmtId="0" fontId="16" fillId="19" borderId="8" xfId="2" applyFont="1"/>
    <xf numFmtId="0" fontId="18" fillId="14" borderId="7" xfId="1" applyFont="1" applyFill="1" applyBorder="1" applyAlignment="1">
      <alignment horizontal="center" vertical="center"/>
    </xf>
    <xf numFmtId="0" fontId="13" fillId="14" borderId="7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20" fillId="0" borderId="1" xfId="0" applyFont="1" applyBorder="1" applyAlignment="1">
      <alignment horizontal="left" vertical="center" wrapText="1"/>
    </xf>
    <xf numFmtId="0" fontId="21" fillId="0" borderId="1" xfId="0" applyFont="1" applyBorder="1" applyAlignment="1">
      <alignment horizontal="center"/>
    </xf>
    <xf numFmtId="0" fontId="0" fillId="0" borderId="0" xfId="0" applyAlignment="1">
      <alignment wrapText="1"/>
    </xf>
    <xf numFmtId="0" fontId="22" fillId="0" borderId="1" xfId="0" applyFont="1" applyBorder="1" applyAlignment="1">
      <alignment horizontal="center" vertical="center" wrapText="1"/>
    </xf>
    <xf numFmtId="0" fontId="23" fillId="2" borderId="1" xfId="0" applyFont="1" applyFill="1" applyBorder="1" applyAlignment="1">
      <alignment vertical="center" wrapText="1"/>
    </xf>
    <xf numFmtId="0" fontId="27" fillId="0" borderId="0" xfId="0" applyFont="1" applyAlignment="1">
      <alignment horizontal="center" vertical="center"/>
    </xf>
    <xf numFmtId="0" fontId="12" fillId="14" borderId="4" xfId="0" applyFont="1" applyFill="1" applyBorder="1" applyAlignment="1">
      <alignment horizontal="center" vertical="center"/>
    </xf>
    <xf numFmtId="0" fontId="9" fillId="17" borderId="4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19" fillId="0" borderId="0" xfId="0" applyFont="1" applyAlignment="1">
      <alignment vertical="center"/>
    </xf>
    <xf numFmtId="0" fontId="23" fillId="14" borderId="4" xfId="0" applyFont="1" applyFill="1" applyBorder="1" applyAlignment="1">
      <alignment vertical="center" wrapText="1"/>
    </xf>
    <xf numFmtId="0" fontId="24" fillId="0" borderId="4" xfId="0" applyFont="1" applyBorder="1" applyAlignment="1">
      <alignment horizontal="center" vertical="center" wrapText="1"/>
    </xf>
    <xf numFmtId="0" fontId="23" fillId="2" borderId="4" xfId="0" applyFont="1" applyFill="1" applyBorder="1" applyAlignment="1">
      <alignment vertical="center" wrapText="1"/>
    </xf>
    <xf numFmtId="0" fontId="22" fillId="0" borderId="4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/>
    </xf>
    <xf numFmtId="0" fontId="20" fillId="0" borderId="4" xfId="0" applyFont="1" applyBorder="1" applyAlignment="1">
      <alignment horizontal="left" vertical="center" wrapText="1"/>
    </xf>
    <xf numFmtId="0" fontId="21" fillId="20" borderId="4" xfId="0" applyFont="1" applyFill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1" fillId="14" borderId="4" xfId="0" applyFont="1" applyFill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0" fontId="23" fillId="10" borderId="1" xfId="0" applyFont="1" applyFill="1" applyBorder="1" applyAlignment="1">
      <alignment vertical="center" wrapText="1"/>
    </xf>
    <xf numFmtId="0" fontId="29" fillId="0" borderId="1" xfId="0" applyFont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21" borderId="0" xfId="0" applyFill="1"/>
    <xf numFmtId="0" fontId="0" fillId="14" borderId="4" xfId="0" applyFill="1" applyBorder="1" applyAlignment="1">
      <alignment horizontal="center" vertical="center"/>
    </xf>
    <xf numFmtId="0" fontId="21" fillId="14" borderId="1" xfId="0" applyFont="1" applyFill="1" applyBorder="1" applyAlignment="1">
      <alignment horizontal="center" vertical="center"/>
    </xf>
    <xf numFmtId="0" fontId="23" fillId="14" borderId="18" xfId="0" applyFont="1" applyFill="1" applyBorder="1" applyAlignment="1">
      <alignment vertical="center" wrapText="1"/>
    </xf>
    <xf numFmtId="0" fontId="24" fillId="0" borderId="18" xfId="0" applyFont="1" applyBorder="1" applyAlignment="1">
      <alignment horizontal="center" vertical="center" wrapText="1"/>
    </xf>
    <xf numFmtId="0" fontId="21" fillId="21" borderId="4" xfId="0" applyFont="1" applyFill="1" applyBorder="1" applyAlignment="1">
      <alignment horizontal="center" vertical="center"/>
    </xf>
    <xf numFmtId="0" fontId="19" fillId="0" borderId="0" xfId="0" applyFont="1"/>
    <xf numFmtId="0" fontId="23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1" fillId="0" borderId="0" xfId="0" applyFont="1" applyAlignment="1">
      <alignment horizontal="center"/>
    </xf>
    <xf numFmtId="0" fontId="20" fillId="0" borderId="0" xfId="0" applyFont="1" applyAlignment="1">
      <alignment horizontal="left" vertical="center" wrapText="1"/>
    </xf>
    <xf numFmtId="0" fontId="28" fillId="0" borderId="1" xfId="0" applyFont="1" applyBorder="1" applyAlignment="1">
      <alignment horizontal="center" vertical="center"/>
    </xf>
    <xf numFmtId="0" fontId="21" fillId="20" borderId="1" xfId="0" applyFont="1" applyFill="1" applyBorder="1" applyAlignment="1">
      <alignment horizontal="center" vertical="center"/>
    </xf>
    <xf numFmtId="0" fontId="0" fillId="21" borderId="1" xfId="0" applyFill="1" applyBorder="1"/>
    <xf numFmtId="0" fontId="23" fillId="14" borderId="1" xfId="0" applyFont="1" applyFill="1" applyBorder="1" applyAlignment="1">
      <alignment vertical="center" wrapText="1"/>
    </xf>
    <xf numFmtId="0" fontId="24" fillId="0" borderId="1" xfId="0" applyFont="1" applyBorder="1" applyAlignment="1">
      <alignment horizontal="center" vertical="center" wrapText="1"/>
    </xf>
    <xf numFmtId="15" fontId="5" fillId="14" borderId="1" xfId="0" applyNumberFormat="1" applyFont="1" applyFill="1" applyBorder="1" applyAlignment="1">
      <alignment horizontal="center" vertical="center"/>
    </xf>
    <xf numFmtId="0" fontId="30" fillId="22" borderId="1" xfId="0" applyFont="1" applyFill="1" applyBorder="1" applyAlignment="1">
      <alignment horizontal="center" vertical="center"/>
    </xf>
    <xf numFmtId="0" fontId="0" fillId="10" borderId="0" xfId="0" applyFill="1"/>
    <xf numFmtId="0" fontId="0" fillId="14" borderId="1" xfId="0" applyFill="1" applyBorder="1" applyAlignment="1">
      <alignment horizontal="center" vertical="center"/>
    </xf>
    <xf numFmtId="0" fontId="21" fillId="14" borderId="29" xfId="0" applyFont="1" applyFill="1" applyBorder="1" applyAlignment="1">
      <alignment horizontal="center" vertical="top"/>
    </xf>
    <xf numFmtId="0" fontId="21" fillId="14" borderId="1" xfId="0" applyFont="1" applyFill="1" applyBorder="1" applyAlignment="1">
      <alignment horizontal="center" vertical="top"/>
    </xf>
    <xf numFmtId="0" fontId="21" fillId="14" borderId="30" xfId="0" applyFont="1" applyFill="1" applyBorder="1" applyAlignment="1">
      <alignment horizontal="center" vertical="top"/>
    </xf>
    <xf numFmtId="0" fontId="0" fillId="14" borderId="31" xfId="0" applyFill="1" applyBorder="1" applyAlignment="1">
      <alignment horizontal="center" vertical="top"/>
    </xf>
    <xf numFmtId="0" fontId="0" fillId="14" borderId="32" xfId="0" applyFill="1" applyBorder="1" applyAlignment="1">
      <alignment horizontal="center" vertical="top"/>
    </xf>
    <xf numFmtId="0" fontId="0" fillId="14" borderId="33" xfId="0" applyFill="1" applyBorder="1" applyAlignment="1">
      <alignment horizontal="center" vertical="top"/>
    </xf>
    <xf numFmtId="0" fontId="0" fillId="10" borderId="31" xfId="0" applyFill="1" applyBorder="1"/>
    <xf numFmtId="0" fontId="21" fillId="14" borderId="46" xfId="0" applyFont="1" applyFill="1" applyBorder="1" applyAlignment="1">
      <alignment horizontal="center" vertical="top"/>
    </xf>
    <xf numFmtId="0" fontId="21" fillId="14" borderId="18" xfId="0" applyFont="1" applyFill="1" applyBorder="1" applyAlignment="1">
      <alignment horizontal="center" vertical="top"/>
    </xf>
    <xf numFmtId="0" fontId="21" fillId="14" borderId="47" xfId="0" applyFont="1" applyFill="1" applyBorder="1" applyAlignment="1">
      <alignment horizontal="center" vertical="top"/>
    </xf>
    <xf numFmtId="0" fontId="0" fillId="0" borderId="41" xfId="0" applyBorder="1"/>
    <xf numFmtId="0" fontId="23" fillId="14" borderId="48" xfId="0" applyFont="1" applyFill="1" applyBorder="1" applyAlignment="1">
      <alignment vertical="center" wrapText="1"/>
    </xf>
    <xf numFmtId="0" fontId="24" fillId="0" borderId="37" xfId="0" applyFont="1" applyBorder="1" applyAlignment="1">
      <alignment horizontal="center" vertical="center" wrapText="1"/>
    </xf>
    <xf numFmtId="0" fontId="0" fillId="0" borderId="48" xfId="0" applyBorder="1"/>
    <xf numFmtId="0" fontId="22" fillId="0" borderId="7" xfId="0" applyFont="1" applyBorder="1" applyAlignment="1">
      <alignment horizontal="center" vertical="center" wrapText="1"/>
    </xf>
    <xf numFmtId="0" fontId="23" fillId="0" borderId="49" xfId="0" applyFont="1" applyBorder="1" applyAlignment="1">
      <alignment horizontal="right" vertical="center" wrapText="1"/>
    </xf>
    <xf numFmtId="0" fontId="20" fillId="0" borderId="50" xfId="0" applyFont="1" applyBorder="1" applyAlignment="1">
      <alignment horizontal="right" vertical="top" wrapText="1"/>
    </xf>
    <xf numFmtId="0" fontId="23" fillId="0" borderId="50" xfId="0" applyFont="1" applyBorder="1" applyAlignment="1">
      <alignment horizontal="right" vertical="center" wrapText="1"/>
    </xf>
    <xf numFmtId="0" fontId="27" fillId="0" borderId="6" xfId="0" applyFont="1" applyBorder="1" applyAlignment="1">
      <alignment vertical="center" wrapText="1"/>
    </xf>
    <xf numFmtId="0" fontId="21" fillId="14" borderId="49" xfId="0" applyFont="1" applyFill="1" applyBorder="1" applyAlignment="1">
      <alignment horizontal="center" vertical="center"/>
    </xf>
    <xf numFmtId="0" fontId="21" fillId="20" borderId="6" xfId="0" applyFont="1" applyFill="1" applyBorder="1" applyAlignment="1">
      <alignment horizontal="center" vertical="center"/>
    </xf>
    <xf numFmtId="0" fontId="35" fillId="21" borderId="1" xfId="0" applyFont="1" applyFill="1" applyBorder="1" applyAlignment="1">
      <alignment horizontal="center" vertical="center"/>
    </xf>
    <xf numFmtId="0" fontId="21" fillId="14" borderId="2" xfId="0" applyFont="1" applyFill="1" applyBorder="1" applyAlignment="1">
      <alignment horizontal="center" vertical="center"/>
    </xf>
    <xf numFmtId="0" fontId="23" fillId="10" borderId="48" xfId="0" applyFont="1" applyFill="1" applyBorder="1" applyAlignment="1">
      <alignment vertical="center" wrapText="1"/>
    </xf>
    <xf numFmtId="0" fontId="29" fillId="0" borderId="37" xfId="0" applyFont="1" applyBorder="1" applyAlignment="1">
      <alignment horizontal="center" vertical="center" wrapText="1"/>
    </xf>
    <xf numFmtId="0" fontId="3" fillId="9" borderId="3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9" borderId="30" xfId="0" applyFont="1" applyFill="1" applyBorder="1" applyAlignment="1">
      <alignment horizontal="center" vertical="center"/>
    </xf>
    <xf numFmtId="0" fontId="3" fillId="9" borderId="29" xfId="0" applyFont="1" applyFill="1" applyBorder="1" applyAlignment="1">
      <alignment horizontal="center" vertical="center"/>
    </xf>
    <xf numFmtId="0" fontId="23" fillId="23" borderId="41" xfId="0" applyFont="1" applyFill="1" applyBorder="1" applyAlignment="1">
      <alignment vertical="center" wrapText="1"/>
    </xf>
    <xf numFmtId="0" fontId="6" fillId="9" borderId="13" xfId="0" applyFont="1" applyFill="1" applyBorder="1" applyAlignment="1">
      <alignment horizontal="center" vertical="center"/>
    </xf>
    <xf numFmtId="0" fontId="6" fillId="9" borderId="32" xfId="0" applyFont="1" applyFill="1" applyBorder="1" applyAlignment="1">
      <alignment horizontal="center" vertical="center"/>
    </xf>
    <xf numFmtId="0" fontId="32" fillId="9" borderId="33" xfId="0" applyFont="1" applyFill="1" applyBorder="1" applyAlignment="1">
      <alignment horizontal="center" vertical="center" wrapText="1"/>
    </xf>
    <xf numFmtId="0" fontId="20" fillId="9" borderId="31" xfId="0" applyFont="1" applyFill="1" applyBorder="1" applyAlignment="1">
      <alignment horizontal="center" wrapText="1"/>
    </xf>
    <xf numFmtId="0" fontId="20" fillId="9" borderId="31" xfId="0" applyFont="1" applyFill="1" applyBorder="1" applyAlignment="1">
      <alignment horizontal="center" vertical="center" wrapText="1"/>
    </xf>
    <xf numFmtId="15" fontId="21" fillId="14" borderId="21" xfId="0" applyNumberFormat="1" applyFont="1" applyFill="1" applyBorder="1" applyAlignment="1">
      <alignment horizontal="left" vertical="top"/>
    </xf>
    <xf numFmtId="15" fontId="21" fillId="14" borderId="10" xfId="0" applyNumberFormat="1" applyFont="1" applyFill="1" applyBorder="1" applyAlignment="1">
      <alignment horizontal="left" vertical="top"/>
    </xf>
    <xf numFmtId="15" fontId="21" fillId="14" borderId="35" xfId="0" applyNumberFormat="1" applyFont="1" applyFill="1" applyBorder="1" applyAlignment="1">
      <alignment horizontal="left" vertical="top"/>
    </xf>
    <xf numFmtId="15" fontId="0" fillId="11" borderId="31" xfId="0" applyNumberFormat="1" applyFill="1" applyBorder="1"/>
    <xf numFmtId="15" fontId="0" fillId="10" borderId="31" xfId="0" applyNumberFormat="1" applyFill="1" applyBorder="1"/>
    <xf numFmtId="0" fontId="0" fillId="14" borderId="13" xfId="0" applyFill="1" applyBorder="1"/>
    <xf numFmtId="0" fontId="0" fillId="14" borderId="32" xfId="0" applyFill="1" applyBorder="1"/>
    <xf numFmtId="0" fontId="0" fillId="14" borderId="33" xfId="0" applyFill="1" applyBorder="1"/>
    <xf numFmtId="0" fontId="0" fillId="10" borderId="12" xfId="0" applyFill="1" applyBorder="1"/>
    <xf numFmtId="0" fontId="21" fillId="0" borderId="46" xfId="0" applyFont="1" applyBorder="1" applyAlignment="1">
      <alignment horizontal="center" vertical="center"/>
    </xf>
    <xf numFmtId="0" fontId="5" fillId="0" borderId="22" xfId="0" applyFont="1" applyBorder="1" applyAlignment="1">
      <alignment horizontal="left" vertical="center" wrapText="1"/>
    </xf>
    <xf numFmtId="0" fontId="21" fillId="14" borderId="46" xfId="0" applyFont="1" applyFill="1" applyBorder="1" applyAlignment="1">
      <alignment horizontal="center" vertical="center"/>
    </xf>
    <xf numFmtId="0" fontId="21" fillId="0" borderId="29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  <xf numFmtId="0" fontId="21" fillId="14" borderId="30" xfId="0" applyFont="1" applyFill="1" applyBorder="1" applyAlignment="1">
      <alignment horizontal="center" vertical="center"/>
    </xf>
    <xf numFmtId="0" fontId="21" fillId="14" borderId="34" xfId="0" applyFont="1" applyFill="1" applyBorder="1" applyAlignment="1">
      <alignment horizontal="center" vertical="center"/>
    </xf>
    <xf numFmtId="0" fontId="21" fillId="14" borderId="21" xfId="0" applyFont="1" applyFill="1" applyBorder="1" applyAlignment="1">
      <alignment horizontal="center" vertical="center"/>
    </xf>
    <xf numFmtId="0" fontId="21" fillId="14" borderId="10" xfId="0" applyFont="1" applyFill="1" applyBorder="1" applyAlignment="1">
      <alignment horizontal="center" vertical="center"/>
    </xf>
    <xf numFmtId="0" fontId="21" fillId="14" borderId="20" xfId="0" applyFont="1" applyFill="1" applyBorder="1" applyAlignment="1">
      <alignment horizontal="center" vertical="center"/>
    </xf>
    <xf numFmtId="0" fontId="21" fillId="14" borderId="35" xfId="0" applyFont="1" applyFill="1" applyBorder="1" applyAlignment="1">
      <alignment horizontal="center" vertical="center"/>
    </xf>
    <xf numFmtId="0" fontId="21" fillId="14" borderId="58" xfId="0" applyFont="1" applyFill="1" applyBorder="1" applyAlignment="1">
      <alignment horizontal="center" vertical="center"/>
    </xf>
    <xf numFmtId="0" fontId="21" fillId="14" borderId="1" xfId="0" applyFont="1" applyFill="1" applyBorder="1" applyAlignment="1">
      <alignment vertical="center"/>
    </xf>
    <xf numFmtId="0" fontId="21" fillId="2" borderId="20" xfId="0" applyFont="1" applyFill="1" applyBorder="1" applyAlignment="1">
      <alignment horizontal="center" vertical="center"/>
    </xf>
    <xf numFmtId="0" fontId="21" fillId="0" borderId="58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vertical="center"/>
    </xf>
    <xf numFmtId="0" fontId="31" fillId="0" borderId="1" xfId="0" applyFont="1" applyBorder="1" applyAlignment="1">
      <alignment vertical="center"/>
    </xf>
    <xf numFmtId="0" fontId="31" fillId="0" borderId="30" xfId="0" applyFont="1" applyBorder="1" applyAlignment="1">
      <alignment horizontal="center" vertical="center"/>
    </xf>
    <xf numFmtId="0" fontId="21" fillId="14" borderId="29" xfId="0" applyFont="1" applyFill="1" applyBorder="1" applyAlignment="1">
      <alignment horizontal="center" vertical="center"/>
    </xf>
    <xf numFmtId="9" fontId="21" fillId="14" borderId="30" xfId="0" applyNumberFormat="1" applyFont="1" applyFill="1" applyBorder="1" applyAlignment="1">
      <alignment horizontal="center" vertical="top"/>
    </xf>
    <xf numFmtId="0" fontId="21" fillId="10" borderId="29" xfId="0" applyFont="1" applyFill="1" applyBorder="1" applyAlignment="1">
      <alignment horizontal="center" vertical="center"/>
    </xf>
    <xf numFmtId="0" fontId="21" fillId="0" borderId="31" xfId="0" applyFont="1" applyBorder="1" applyAlignment="1">
      <alignment horizontal="center" vertical="center"/>
    </xf>
    <xf numFmtId="0" fontId="5" fillId="0" borderId="11" xfId="0" applyFont="1" applyBorder="1" applyAlignment="1">
      <alignment horizontal="left" vertical="center" wrapText="1"/>
    </xf>
    <xf numFmtId="0" fontId="0" fillId="14" borderId="31" xfId="0" applyFill="1" applyBorder="1" applyAlignment="1">
      <alignment horizontal="center" vertical="center"/>
    </xf>
    <xf numFmtId="0" fontId="0" fillId="14" borderId="59" xfId="0" applyFill="1" applyBorder="1" applyAlignment="1">
      <alignment horizontal="center" vertical="top"/>
    </xf>
    <xf numFmtId="0" fontId="0" fillId="0" borderId="18" xfId="0" applyBorder="1"/>
    <xf numFmtId="0" fontId="0" fillId="0" borderId="1" xfId="0" applyBorder="1" applyAlignment="1">
      <alignment horizontal="right" vertical="center" wrapText="1"/>
    </xf>
    <xf numFmtId="9" fontId="21" fillId="0" borderId="1" xfId="3" applyFont="1" applyFill="1" applyBorder="1" applyAlignment="1">
      <alignment horizontal="right" vertical="center" wrapText="1"/>
    </xf>
    <xf numFmtId="9" fontId="0" fillId="0" borderId="1" xfId="3" applyFont="1" applyBorder="1"/>
    <xf numFmtId="0" fontId="0" fillId="0" borderId="1" xfId="0" applyBorder="1"/>
    <xf numFmtId="9" fontId="0" fillId="0" borderId="1" xfId="3" applyFont="1" applyFill="1" applyBorder="1" applyAlignment="1">
      <alignment horizontal="right" vertical="center" wrapText="1"/>
    </xf>
    <xf numFmtId="9" fontId="0" fillId="0" borderId="0" xfId="0" applyNumberFormat="1"/>
    <xf numFmtId="9" fontId="0" fillId="0" borderId="1" xfId="0" applyNumberFormat="1" applyBorder="1" applyAlignment="1">
      <alignment horizontal="right" vertical="center" wrapText="1"/>
    </xf>
    <xf numFmtId="0" fontId="21" fillId="2" borderId="30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0" fillId="0" borderId="0" xfId="0" quotePrefix="1" applyAlignment="1">
      <alignment wrapText="1"/>
    </xf>
    <xf numFmtId="0" fontId="21" fillId="8" borderId="29" xfId="0" applyFont="1" applyFill="1" applyBorder="1" applyAlignment="1">
      <alignment horizontal="center" vertical="center"/>
    </xf>
    <xf numFmtId="0" fontId="21" fillId="2" borderId="2" xfId="0" applyFont="1" applyFill="1" applyBorder="1" applyAlignment="1">
      <alignment vertical="center" wrapText="1"/>
    </xf>
    <xf numFmtId="0" fontId="21" fillId="2" borderId="29" xfId="0" applyFont="1" applyFill="1" applyBorder="1" applyAlignment="1">
      <alignment horizontal="center" vertical="center" wrapText="1"/>
    </xf>
    <xf numFmtId="0" fontId="37" fillId="0" borderId="0" xfId="4"/>
    <xf numFmtId="15" fontId="39" fillId="3" borderId="1" xfId="0" applyNumberFormat="1" applyFont="1" applyFill="1" applyBorder="1" applyAlignment="1">
      <alignment horizontal="center" vertical="center"/>
    </xf>
    <xf numFmtId="15" fontId="39" fillId="4" borderId="1" xfId="0" applyNumberFormat="1" applyFont="1" applyFill="1" applyBorder="1" applyAlignment="1">
      <alignment horizontal="center" vertical="center"/>
    </xf>
    <xf numFmtId="0" fontId="39" fillId="11" borderId="1" xfId="0" applyFont="1" applyFill="1" applyBorder="1" applyAlignment="1">
      <alignment horizontal="center" vertical="center"/>
    </xf>
    <xf numFmtId="0" fontId="38" fillId="0" borderId="1" xfId="0" applyFont="1" applyBorder="1" applyAlignment="1">
      <alignment horizontal="center" vertical="center" wrapText="1"/>
    </xf>
    <xf numFmtId="0" fontId="38" fillId="0" borderId="1" xfId="0" applyFont="1" applyBorder="1" applyAlignment="1">
      <alignment horizontal="center" vertical="center"/>
    </xf>
    <xf numFmtId="0" fontId="39" fillId="5" borderId="1" xfId="0" applyFont="1" applyFill="1" applyBorder="1" applyAlignment="1">
      <alignment horizontal="center" vertical="center"/>
    </xf>
    <xf numFmtId="15" fontId="39" fillId="5" borderId="1" xfId="0" applyNumberFormat="1" applyFont="1" applyFill="1" applyBorder="1" applyAlignment="1">
      <alignment horizontal="center" vertical="center"/>
    </xf>
    <xf numFmtId="15" fontId="39" fillId="2" borderId="1" xfId="0" applyNumberFormat="1" applyFont="1" applyFill="1" applyBorder="1" applyAlignment="1">
      <alignment horizontal="center" vertical="center"/>
    </xf>
    <xf numFmtId="1" fontId="39" fillId="5" borderId="1" xfId="0" applyNumberFormat="1" applyFont="1" applyFill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39" fillId="6" borderId="1" xfId="0" applyFont="1" applyFill="1" applyBorder="1" applyAlignment="1">
      <alignment horizontal="center" vertical="center"/>
    </xf>
    <xf numFmtId="15" fontId="39" fillId="6" borderId="1" xfId="0" applyNumberFormat="1" applyFont="1" applyFill="1" applyBorder="1" applyAlignment="1">
      <alignment horizontal="center" vertical="center"/>
    </xf>
    <xf numFmtId="1" fontId="39" fillId="7" borderId="1" xfId="0" applyNumberFormat="1" applyFont="1" applyFill="1" applyBorder="1" applyAlignment="1">
      <alignment horizontal="center" vertical="center"/>
    </xf>
    <xf numFmtId="0" fontId="39" fillId="8" borderId="1" xfId="0" applyFont="1" applyFill="1" applyBorder="1" applyAlignment="1">
      <alignment horizontal="center" vertical="center"/>
    </xf>
    <xf numFmtId="15" fontId="39" fillId="8" borderId="1" xfId="0" applyNumberFormat="1" applyFont="1" applyFill="1" applyBorder="1" applyAlignment="1">
      <alignment horizontal="center" vertical="center"/>
    </xf>
    <xf numFmtId="1" fontId="39" fillId="8" borderId="1" xfId="0" applyNumberFormat="1" applyFont="1" applyFill="1" applyBorder="1" applyAlignment="1">
      <alignment horizontal="center" vertical="center"/>
    </xf>
    <xf numFmtId="0" fontId="39" fillId="9" borderId="1" xfId="0" applyFont="1" applyFill="1" applyBorder="1" applyAlignment="1">
      <alignment horizontal="center" vertical="center"/>
    </xf>
    <xf numFmtId="15" fontId="39" fillId="9" borderId="1" xfId="0" applyNumberFormat="1" applyFont="1" applyFill="1" applyBorder="1" applyAlignment="1">
      <alignment horizontal="center" vertical="center"/>
    </xf>
    <xf numFmtId="1" fontId="39" fillId="9" borderId="1" xfId="0" applyNumberFormat="1" applyFont="1" applyFill="1" applyBorder="1" applyAlignment="1">
      <alignment horizontal="center" vertical="center"/>
    </xf>
    <xf numFmtId="0" fontId="39" fillId="10" borderId="1" xfId="0" applyFont="1" applyFill="1" applyBorder="1" applyAlignment="1">
      <alignment horizontal="center" vertical="center"/>
    </xf>
    <xf numFmtId="15" fontId="39" fillId="10" borderId="1" xfId="0" applyNumberFormat="1" applyFont="1" applyFill="1" applyBorder="1" applyAlignment="1">
      <alignment horizontal="center" vertical="center"/>
    </xf>
    <xf numFmtId="1" fontId="39" fillId="10" borderId="1" xfId="0" applyNumberFormat="1" applyFont="1" applyFill="1" applyBorder="1" applyAlignment="1">
      <alignment horizontal="center" vertical="center"/>
    </xf>
    <xf numFmtId="15" fontId="39" fillId="11" borderId="1" xfId="0" applyNumberFormat="1" applyFont="1" applyFill="1" applyBorder="1" applyAlignment="1">
      <alignment horizontal="center" vertical="center"/>
    </xf>
    <xf numFmtId="1" fontId="39" fillId="12" borderId="1" xfId="0" applyNumberFormat="1" applyFont="1" applyFill="1" applyBorder="1" applyAlignment="1">
      <alignment horizontal="center" vertical="center"/>
    </xf>
    <xf numFmtId="0" fontId="39" fillId="13" borderId="1" xfId="0" applyFont="1" applyFill="1" applyBorder="1" applyAlignment="1">
      <alignment horizontal="center" vertical="center"/>
    </xf>
    <xf numFmtId="15" fontId="39" fillId="13" borderId="1" xfId="0" applyNumberFormat="1" applyFont="1" applyFill="1" applyBorder="1" applyAlignment="1">
      <alignment horizontal="center" vertical="center"/>
    </xf>
    <xf numFmtId="1" fontId="39" fillId="14" borderId="1" xfId="0" applyNumberFormat="1" applyFont="1" applyFill="1" applyBorder="1" applyAlignment="1">
      <alignment horizontal="center" vertical="center"/>
    </xf>
    <xf numFmtId="0" fontId="39" fillId="15" borderId="1" xfId="0" applyFont="1" applyFill="1" applyBorder="1" applyAlignment="1">
      <alignment horizontal="center" vertical="center"/>
    </xf>
    <xf numFmtId="15" fontId="39" fillId="15" borderId="1" xfId="0" applyNumberFormat="1" applyFont="1" applyFill="1" applyBorder="1" applyAlignment="1">
      <alignment horizontal="center" vertical="center"/>
    </xf>
    <xf numFmtId="1" fontId="39" fillId="15" borderId="1" xfId="0" applyNumberFormat="1" applyFont="1" applyFill="1" applyBorder="1" applyAlignment="1">
      <alignment horizontal="center" vertical="center"/>
    </xf>
    <xf numFmtId="0" fontId="39" fillId="16" borderId="1" xfId="0" applyFont="1" applyFill="1" applyBorder="1" applyAlignment="1">
      <alignment horizontal="center" vertical="center"/>
    </xf>
    <xf numFmtId="15" fontId="39" fillId="16" borderId="1" xfId="0" applyNumberFormat="1" applyFont="1" applyFill="1" applyBorder="1" applyAlignment="1">
      <alignment horizontal="center" vertical="center"/>
    </xf>
    <xf numFmtId="1" fontId="39" fillId="16" borderId="1" xfId="0" applyNumberFormat="1" applyFont="1" applyFill="1" applyBorder="1" applyAlignment="1">
      <alignment horizontal="center" vertical="center"/>
    </xf>
    <xf numFmtId="0" fontId="39" fillId="5" borderId="1" xfId="0" applyFont="1" applyFill="1" applyBorder="1" applyAlignment="1">
      <alignment horizontal="left" vertical="center"/>
    </xf>
    <xf numFmtId="0" fontId="39" fillId="6" borderId="1" xfId="0" applyFont="1" applyFill="1" applyBorder="1" applyAlignment="1">
      <alignment horizontal="left" vertical="center"/>
    </xf>
    <xf numFmtId="3" fontId="39" fillId="6" borderId="1" xfId="0" applyNumberFormat="1" applyFont="1" applyFill="1" applyBorder="1" applyAlignment="1">
      <alignment horizontal="left" vertical="center"/>
    </xf>
    <xf numFmtId="0" fontId="39" fillId="8" borderId="1" xfId="0" applyFont="1" applyFill="1" applyBorder="1" applyAlignment="1">
      <alignment horizontal="left" vertical="center"/>
    </xf>
    <xf numFmtId="0" fontId="39" fillId="9" borderId="1" xfId="0" applyFont="1" applyFill="1" applyBorder="1" applyAlignment="1">
      <alignment horizontal="left" vertical="center"/>
    </xf>
    <xf numFmtId="0" fontId="39" fillId="10" borderId="1" xfId="0" applyFont="1" applyFill="1" applyBorder="1" applyAlignment="1">
      <alignment horizontal="left" vertical="center"/>
    </xf>
    <xf numFmtId="0" fontId="39" fillId="11" borderId="1" xfId="0" applyFont="1" applyFill="1" applyBorder="1" applyAlignment="1">
      <alignment horizontal="left" vertical="center"/>
    </xf>
    <xf numFmtId="0" fontId="39" fillId="13" borderId="1" xfId="0" applyFont="1" applyFill="1" applyBorder="1" applyAlignment="1">
      <alignment horizontal="left" vertical="center"/>
    </xf>
    <xf numFmtId="0" fontId="39" fillId="15" borderId="1" xfId="0" applyFont="1" applyFill="1" applyBorder="1" applyAlignment="1">
      <alignment horizontal="left" vertical="center"/>
    </xf>
    <xf numFmtId="0" fontId="39" fillId="16" borderId="1" xfId="0" applyFont="1" applyFill="1" applyBorder="1" applyAlignment="1">
      <alignment horizontal="left" vertical="center"/>
    </xf>
    <xf numFmtId="0" fontId="2" fillId="10" borderId="1" xfId="0" applyFont="1" applyFill="1" applyBorder="1" applyAlignment="1">
      <alignment vertical="center"/>
    </xf>
    <xf numFmtId="0" fontId="2" fillId="14" borderId="1" xfId="0" applyFont="1" applyFill="1" applyBorder="1" applyAlignment="1">
      <alignment vertical="center"/>
    </xf>
    <xf numFmtId="15" fontId="0" fillId="24" borderId="0" xfId="0" applyNumberFormat="1" applyFill="1"/>
    <xf numFmtId="0" fontId="2" fillId="14" borderId="1" xfId="0" applyFont="1" applyFill="1" applyBorder="1" applyAlignment="1">
      <alignment horizontal="center" vertical="center"/>
    </xf>
    <xf numFmtId="14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pivotButton="1" applyBorder="1" applyAlignment="1">
      <alignment horizontal="center" vertical="center"/>
    </xf>
    <xf numFmtId="0" fontId="38" fillId="0" borderId="1" xfId="0" applyFont="1" applyBorder="1" applyAlignment="1">
      <alignment horizontal="center" vertical="center" wrapText="1"/>
    </xf>
    <xf numFmtId="0" fontId="12" fillId="14" borderId="9" xfId="2" applyFont="1" applyFill="1" applyBorder="1" applyAlignment="1">
      <alignment horizontal="center" vertical="center"/>
    </xf>
    <xf numFmtId="0" fontId="12" fillId="14" borderId="5" xfId="2" applyFont="1" applyFill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8" fillId="14" borderId="9" xfId="2" applyFont="1" applyFill="1" applyBorder="1" applyAlignment="1">
      <alignment horizontal="center" vertical="center"/>
    </xf>
    <xf numFmtId="0" fontId="18" fillId="14" borderId="5" xfId="2" applyFont="1" applyFill="1" applyBorder="1" applyAlignment="1">
      <alignment horizontal="center" vertical="center"/>
    </xf>
    <xf numFmtId="0" fontId="12" fillId="14" borderId="9" xfId="0" applyFont="1" applyFill="1" applyBorder="1" applyAlignment="1">
      <alignment horizontal="center" vertical="center"/>
    </xf>
    <xf numFmtId="0" fontId="12" fillId="14" borderId="5" xfId="0" applyFont="1" applyFill="1" applyBorder="1" applyAlignment="1">
      <alignment horizontal="center" vertical="center"/>
    </xf>
    <xf numFmtId="0" fontId="13" fillId="14" borderId="9" xfId="0" applyFont="1" applyFill="1" applyBorder="1" applyAlignment="1">
      <alignment horizontal="center" vertical="center"/>
    </xf>
    <xf numFmtId="0" fontId="13" fillId="14" borderId="5" xfId="0" applyFont="1" applyFill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5" xfId="0" applyBorder="1" applyAlignment="1">
      <alignment horizontal="center"/>
    </xf>
    <xf numFmtId="0" fontId="16" fillId="14" borderId="9" xfId="2" applyFont="1" applyFill="1" applyBorder="1" applyAlignment="1">
      <alignment horizontal="center" vertical="center"/>
    </xf>
    <xf numFmtId="0" fontId="16" fillId="14" borderId="5" xfId="2" applyFont="1" applyFill="1" applyBorder="1" applyAlignment="1">
      <alignment horizontal="center" vertical="center"/>
    </xf>
    <xf numFmtId="0" fontId="12" fillId="21" borderId="9" xfId="0" applyFont="1" applyFill="1" applyBorder="1" applyAlignment="1">
      <alignment horizontal="center" vertical="center"/>
    </xf>
    <xf numFmtId="0" fontId="12" fillId="21" borderId="5" xfId="0" applyFont="1" applyFill="1" applyBorder="1" applyAlignment="1">
      <alignment horizontal="center" vertical="center"/>
    </xf>
    <xf numFmtId="0" fontId="21" fillId="20" borderId="49" xfId="0" applyFont="1" applyFill="1" applyBorder="1" applyAlignment="1">
      <alignment horizontal="center" vertical="center"/>
    </xf>
    <xf numFmtId="0" fontId="21" fillId="20" borderId="6" xfId="0" applyFont="1" applyFill="1" applyBorder="1" applyAlignment="1">
      <alignment horizontal="center" vertical="center"/>
    </xf>
    <xf numFmtId="0" fontId="21" fillId="0" borderId="49" xfId="0" applyFont="1" applyBorder="1" applyAlignment="1">
      <alignment horizontal="center"/>
    </xf>
    <xf numFmtId="0" fontId="21" fillId="0" borderId="6" xfId="0" applyFont="1" applyBorder="1" applyAlignment="1">
      <alignment horizontal="center"/>
    </xf>
    <xf numFmtId="0" fontId="20" fillId="0" borderId="49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0" fontId="21" fillId="14" borderId="49" xfId="0" applyFont="1" applyFill="1" applyBorder="1" applyAlignment="1">
      <alignment horizontal="center" vertical="center"/>
    </xf>
    <xf numFmtId="0" fontId="21" fillId="14" borderId="6" xfId="0" applyFont="1" applyFill="1" applyBorder="1" applyAlignment="1">
      <alignment horizontal="center" vertical="center"/>
    </xf>
    <xf numFmtId="0" fontId="21" fillId="14" borderId="51" xfId="0" applyFont="1" applyFill="1" applyBorder="1" applyAlignment="1">
      <alignment horizontal="center" vertical="center"/>
    </xf>
    <xf numFmtId="0" fontId="21" fillId="14" borderId="52" xfId="0" applyFont="1" applyFill="1" applyBorder="1" applyAlignment="1">
      <alignment horizontal="center" vertical="center"/>
    </xf>
    <xf numFmtId="0" fontId="0" fillId="14" borderId="9" xfId="0" applyFill="1" applyBorder="1" applyAlignment="1">
      <alignment horizontal="center" vertical="center"/>
    </xf>
    <xf numFmtId="0" fontId="0" fillId="14" borderId="5" xfId="0" applyFill="1" applyBorder="1" applyAlignment="1">
      <alignment horizontal="center" vertical="center"/>
    </xf>
    <xf numFmtId="0" fontId="28" fillId="0" borderId="9" xfId="0" applyFont="1" applyBorder="1" applyAlignment="1">
      <alignment horizontal="center" vertical="center"/>
    </xf>
    <xf numFmtId="0" fontId="28" fillId="0" borderId="5" xfId="0" applyFont="1" applyBorder="1" applyAlignment="1">
      <alignment horizontal="center" vertical="center"/>
    </xf>
    <xf numFmtId="0" fontId="21" fillId="14" borderId="9" xfId="0" applyFont="1" applyFill="1" applyBorder="1" applyAlignment="1">
      <alignment horizontal="center" vertical="center"/>
    </xf>
    <xf numFmtId="0" fontId="21" fillId="14" borderId="5" xfId="0" applyFont="1" applyFill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23" fillId="0" borderId="12" xfId="0" applyFont="1" applyBorder="1" applyAlignment="1">
      <alignment horizontal="center" vertical="center"/>
    </xf>
    <xf numFmtId="0" fontId="23" fillId="0" borderId="13" xfId="0" applyFont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19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vertical="center"/>
    </xf>
    <xf numFmtId="0" fontId="21" fillId="14" borderId="40" xfId="0" applyFont="1" applyFill="1" applyBorder="1" applyAlignment="1">
      <alignment horizontal="center" vertical="center"/>
    </xf>
    <xf numFmtId="0" fontId="21" fillId="14" borderId="38" xfId="0" applyFont="1" applyFill="1" applyBorder="1" applyAlignment="1">
      <alignment horizontal="center" vertical="center"/>
    </xf>
    <xf numFmtId="0" fontId="21" fillId="14" borderId="41" xfId="0" applyFont="1" applyFill="1" applyBorder="1" applyAlignment="1">
      <alignment horizontal="center" vertical="center"/>
    </xf>
    <xf numFmtId="0" fontId="21" fillId="14" borderId="7" xfId="0" applyFont="1" applyFill="1" applyBorder="1" applyAlignment="1">
      <alignment horizontal="center" vertical="center"/>
    </xf>
    <xf numFmtId="0" fontId="21" fillId="20" borderId="9" xfId="0" applyFont="1" applyFill="1" applyBorder="1" applyAlignment="1">
      <alignment horizontal="center" vertical="center"/>
    </xf>
    <xf numFmtId="0" fontId="21" fillId="20" borderId="5" xfId="0" applyFont="1" applyFill="1" applyBorder="1" applyAlignment="1">
      <alignment horizontal="center" vertical="center"/>
    </xf>
    <xf numFmtId="0" fontId="21" fillId="14" borderId="1" xfId="0" applyFont="1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35" fillId="21" borderId="1" xfId="0" applyFont="1" applyFill="1" applyBorder="1" applyAlignment="1">
      <alignment horizontal="center" vertical="center"/>
    </xf>
    <xf numFmtId="0" fontId="21" fillId="20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/>
    </xf>
    <xf numFmtId="0" fontId="19" fillId="0" borderId="19" xfId="0" applyFont="1" applyBorder="1" applyAlignment="1">
      <alignment horizontal="center"/>
    </xf>
    <xf numFmtId="0" fontId="3" fillId="8" borderId="2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3" fillId="8" borderId="2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0" fontId="21" fillId="21" borderId="2" xfId="0" applyFont="1" applyFill="1" applyBorder="1" applyAlignment="1">
      <alignment horizontal="center" vertical="center"/>
    </xf>
    <xf numFmtId="0" fontId="21" fillId="21" borderId="3" xfId="0" applyFont="1" applyFill="1" applyBorder="1" applyAlignment="1">
      <alignment horizontal="center" vertical="center"/>
    </xf>
    <xf numFmtId="0" fontId="21" fillId="20" borderId="2" xfId="0" applyFont="1" applyFill="1" applyBorder="1" applyAlignment="1">
      <alignment horizontal="center" vertical="center"/>
    </xf>
    <xf numFmtId="0" fontId="21" fillId="20" borderId="3" xfId="0" applyFont="1" applyFill="1" applyBorder="1" applyAlignment="1">
      <alignment horizontal="center" vertical="center"/>
    </xf>
    <xf numFmtId="0" fontId="21" fillId="14" borderId="2" xfId="0" applyFont="1" applyFill="1" applyBorder="1" applyAlignment="1">
      <alignment horizontal="center" vertical="center"/>
    </xf>
    <xf numFmtId="0" fontId="21" fillId="14" borderId="3" xfId="0" applyFont="1" applyFill="1" applyBorder="1" applyAlignment="1">
      <alignment horizontal="center" vertical="center"/>
    </xf>
    <xf numFmtId="0" fontId="35" fillId="21" borderId="2" xfId="0" applyFont="1" applyFill="1" applyBorder="1" applyAlignment="1">
      <alignment horizontal="center" vertical="center"/>
    </xf>
    <xf numFmtId="0" fontId="35" fillId="21" borderId="3" xfId="0" applyFont="1" applyFill="1" applyBorder="1" applyAlignment="1">
      <alignment horizontal="center" vertical="center"/>
    </xf>
    <xf numFmtId="0" fontId="0" fillId="14" borderId="2" xfId="0" applyFill="1" applyBorder="1" applyAlignment="1">
      <alignment horizontal="center" vertical="center"/>
    </xf>
    <xf numFmtId="0" fontId="0" fillId="14" borderId="3" xfId="0" applyFill="1" applyBorder="1" applyAlignment="1">
      <alignment horizontal="center" vertical="center"/>
    </xf>
    <xf numFmtId="0" fontId="21" fillId="0" borderId="10" xfId="0" applyFont="1" applyBorder="1" applyAlignment="1">
      <alignment horizontal="left" vertical="center"/>
    </xf>
    <xf numFmtId="0" fontId="21" fillId="0" borderId="18" xfId="0" applyFont="1" applyBorder="1" applyAlignment="1">
      <alignment horizontal="left" vertical="center"/>
    </xf>
    <xf numFmtId="0" fontId="20" fillId="0" borderId="10" xfId="0" applyFont="1" applyBorder="1" applyAlignment="1">
      <alignment horizontal="left" vertical="center" wrapText="1"/>
    </xf>
    <xf numFmtId="0" fontId="20" fillId="0" borderId="18" xfId="0" applyFont="1" applyBorder="1" applyAlignment="1">
      <alignment horizontal="left" vertical="center" wrapText="1"/>
    </xf>
    <xf numFmtId="0" fontId="21" fillId="20" borderId="10" xfId="0" applyFont="1" applyFill="1" applyBorder="1" applyAlignment="1">
      <alignment horizontal="center" vertical="center"/>
    </xf>
    <xf numFmtId="0" fontId="21" fillId="20" borderId="18" xfId="0" applyFont="1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0" borderId="30" xfId="0" applyFont="1" applyBorder="1" applyAlignment="1">
      <alignment horizontal="center" vertical="center"/>
    </xf>
    <xf numFmtId="0" fontId="0" fillId="14" borderId="32" xfId="0" applyFill="1" applyBorder="1" applyAlignment="1">
      <alignment horizontal="center" vertical="top"/>
    </xf>
    <xf numFmtId="0" fontId="0" fillId="14" borderId="56" xfId="0" applyFill="1" applyBorder="1" applyAlignment="1">
      <alignment horizontal="center" vertical="center"/>
    </xf>
    <xf numFmtId="0" fontId="0" fillId="14" borderId="13" xfId="0" applyFill="1" applyBorder="1" applyAlignment="1">
      <alignment horizontal="center" vertical="center"/>
    </xf>
    <xf numFmtId="0" fontId="0" fillId="14" borderId="32" xfId="0" applyFill="1" applyBorder="1" applyAlignment="1">
      <alignment horizontal="center" vertical="center"/>
    </xf>
    <xf numFmtId="0" fontId="0" fillId="14" borderId="11" xfId="0" applyFill="1" applyBorder="1" applyAlignment="1">
      <alignment horizontal="center" vertical="center"/>
    </xf>
    <xf numFmtId="0" fontId="0" fillId="14" borderId="45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21" fillId="14" borderId="19" xfId="0" applyFont="1" applyFill="1" applyBorder="1" applyAlignment="1">
      <alignment horizontal="center" vertical="center"/>
    </xf>
    <xf numFmtId="0" fontId="21" fillId="14" borderId="29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 wrapText="1"/>
    </xf>
    <xf numFmtId="0" fontId="21" fillId="14" borderId="30" xfId="0" applyFont="1" applyFill="1" applyBorder="1" applyAlignment="1">
      <alignment horizontal="center" vertical="center"/>
    </xf>
    <xf numFmtId="0" fontId="21" fillId="0" borderId="29" xfId="0" applyFont="1" applyBorder="1" applyAlignment="1">
      <alignment horizontal="center" vertical="center"/>
    </xf>
    <xf numFmtId="0" fontId="0" fillId="2" borderId="33" xfId="0" applyFill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31" xfId="0" applyFill="1" applyBorder="1" applyAlignment="1">
      <alignment horizontal="center" vertical="center"/>
    </xf>
    <xf numFmtId="0" fontId="21" fillId="14" borderId="1" xfId="0" applyFont="1" applyFill="1" applyBorder="1" applyAlignment="1">
      <alignment horizontal="center" vertical="top"/>
    </xf>
    <xf numFmtId="0" fontId="21" fillId="14" borderId="54" xfId="0" applyFont="1" applyFill="1" applyBorder="1" applyAlignment="1">
      <alignment horizontal="center" vertical="center"/>
    </xf>
    <xf numFmtId="0" fontId="21" fillId="14" borderId="55" xfId="0" applyFont="1" applyFill="1" applyBorder="1" applyAlignment="1">
      <alignment horizontal="center" vertical="center"/>
    </xf>
    <xf numFmtId="0" fontId="21" fillId="10" borderId="29" xfId="0" applyFont="1" applyFill="1" applyBorder="1" applyAlignment="1">
      <alignment horizontal="center" vertical="center"/>
    </xf>
    <xf numFmtId="0" fontId="21" fillId="10" borderId="1" xfId="0" applyFont="1" applyFill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55" xfId="0" applyFont="1" applyBorder="1" applyAlignment="1">
      <alignment horizontal="center" vertical="center"/>
    </xf>
    <xf numFmtId="0" fontId="21" fillId="14" borderId="2" xfId="0" applyFont="1" applyFill="1" applyBorder="1" applyAlignment="1">
      <alignment horizontal="center" vertical="top"/>
    </xf>
    <xf numFmtId="0" fontId="21" fillId="14" borderId="3" xfId="0" applyFont="1" applyFill="1" applyBorder="1" applyAlignment="1">
      <alignment horizontal="center" vertical="top"/>
    </xf>
    <xf numFmtId="0" fontId="21" fillId="10" borderId="2" xfId="0" applyFont="1" applyFill="1" applyBorder="1" applyAlignment="1">
      <alignment horizontal="center" vertical="center"/>
    </xf>
    <xf numFmtId="0" fontId="21" fillId="10" borderId="55" xfId="0" applyFont="1" applyFill="1" applyBorder="1" applyAlignment="1">
      <alignment horizontal="center" vertical="center"/>
    </xf>
    <xf numFmtId="0" fontId="21" fillId="10" borderId="54" xfId="0" applyFont="1" applyFill="1" applyBorder="1" applyAlignment="1">
      <alignment horizontal="center" vertical="center"/>
    </xf>
    <xf numFmtId="0" fontId="21" fillId="10" borderId="3" xfId="0" applyFont="1" applyFill="1" applyBorder="1" applyAlignment="1">
      <alignment horizontal="center" vertical="center"/>
    </xf>
    <xf numFmtId="0" fontId="21" fillId="0" borderId="54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36" fillId="14" borderId="2" xfId="0" applyFont="1" applyFill="1" applyBorder="1" applyAlignment="1">
      <alignment horizontal="center" vertical="center"/>
    </xf>
    <xf numFmtId="0" fontId="36" fillId="14" borderId="3" xfId="0" applyFont="1" applyFill="1" applyBorder="1" applyAlignment="1">
      <alignment horizontal="center" vertical="center"/>
    </xf>
    <xf numFmtId="0" fontId="36" fillId="14" borderId="55" xfId="0" applyFont="1" applyFill="1" applyBorder="1" applyAlignment="1">
      <alignment horizontal="center" vertical="center"/>
    </xf>
    <xf numFmtId="0" fontId="21" fillId="10" borderId="2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/>
    </xf>
    <xf numFmtId="0" fontId="21" fillId="2" borderId="30" xfId="0" applyFont="1" applyFill="1" applyBorder="1" applyAlignment="1">
      <alignment horizontal="center" vertical="center"/>
    </xf>
    <xf numFmtId="0" fontId="21" fillId="2" borderId="29" xfId="0" applyFont="1" applyFill="1" applyBorder="1" applyAlignment="1">
      <alignment horizontal="center" vertical="center"/>
    </xf>
    <xf numFmtId="0" fontId="21" fillId="2" borderId="54" xfId="0" applyFont="1" applyFill="1" applyBorder="1" applyAlignment="1">
      <alignment horizontal="center" vertical="center"/>
    </xf>
    <xf numFmtId="0" fontId="21" fillId="2" borderId="3" xfId="0" applyFont="1" applyFill="1" applyBorder="1" applyAlignment="1">
      <alignment horizontal="center" vertical="center"/>
    </xf>
    <xf numFmtId="0" fontId="21" fillId="2" borderId="2" xfId="0" applyFont="1" applyFill="1" applyBorder="1" applyAlignment="1">
      <alignment horizontal="center" vertical="center"/>
    </xf>
    <xf numFmtId="0" fontId="21" fillId="2" borderId="5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0" fillId="10" borderId="11" xfId="0" applyFill="1" applyBorder="1" applyAlignment="1">
      <alignment horizontal="center"/>
    </xf>
    <xf numFmtId="0" fontId="0" fillId="10" borderId="13" xfId="0" applyFill="1" applyBorder="1" applyAlignment="1">
      <alignment horizontal="center"/>
    </xf>
    <xf numFmtId="0" fontId="0" fillId="10" borderId="45" xfId="0" applyFill="1" applyBorder="1" applyAlignment="1">
      <alignment horizontal="center"/>
    </xf>
    <xf numFmtId="0" fontId="21" fillId="14" borderId="18" xfId="0" applyFont="1" applyFill="1" applyBorder="1" applyAlignment="1">
      <alignment horizontal="center" vertical="top"/>
    </xf>
    <xf numFmtId="0" fontId="21" fillId="14" borderId="25" xfId="0" applyFont="1" applyFill="1" applyBorder="1" applyAlignment="1">
      <alignment horizontal="center" vertical="center"/>
    </xf>
    <xf numFmtId="0" fontId="21" fillId="14" borderId="36" xfId="0" applyFont="1" applyFill="1" applyBorder="1" applyAlignment="1">
      <alignment horizontal="center" vertical="center"/>
    </xf>
    <xf numFmtId="0" fontId="21" fillId="14" borderId="18" xfId="0" applyFont="1" applyFill="1" applyBorder="1" applyAlignment="1">
      <alignment horizontal="center" vertical="center"/>
    </xf>
    <xf numFmtId="0" fontId="21" fillId="14" borderId="57" xfId="0" applyFont="1" applyFill="1" applyBorder="1" applyAlignment="1">
      <alignment horizontal="center" vertical="center"/>
    </xf>
    <xf numFmtId="0" fontId="21" fillId="14" borderId="26" xfId="0" applyFont="1" applyFill="1" applyBorder="1" applyAlignment="1">
      <alignment horizontal="center" vertical="center"/>
    </xf>
    <xf numFmtId="0" fontId="0" fillId="10" borderId="31" xfId="0" applyFill="1" applyBorder="1" applyAlignment="1">
      <alignment horizontal="center"/>
    </xf>
    <xf numFmtId="0" fontId="0" fillId="10" borderId="32" xfId="0" applyFill="1" applyBorder="1" applyAlignment="1">
      <alignment horizontal="center"/>
    </xf>
    <xf numFmtId="0" fontId="0" fillId="14" borderId="11" xfId="0" applyFill="1" applyBorder="1" applyAlignment="1">
      <alignment horizontal="center"/>
    </xf>
    <xf numFmtId="0" fontId="0" fillId="14" borderId="13" xfId="0" applyFill="1" applyBorder="1" applyAlignment="1">
      <alignment horizontal="center"/>
    </xf>
    <xf numFmtId="0" fontId="0" fillId="14" borderId="56" xfId="0" applyFill="1" applyBorder="1" applyAlignment="1">
      <alignment horizontal="center"/>
    </xf>
    <xf numFmtId="0" fontId="0" fillId="14" borderId="45" xfId="0" applyFill="1" applyBorder="1" applyAlignment="1">
      <alignment horizontal="center"/>
    </xf>
    <xf numFmtId="15" fontId="0" fillId="11" borderId="11" xfId="0" applyNumberFormat="1" applyFill="1" applyBorder="1" applyAlignment="1">
      <alignment horizontal="center"/>
    </xf>
    <xf numFmtId="15" fontId="0" fillId="11" borderId="13" xfId="0" applyNumberFormat="1" applyFill="1" applyBorder="1" applyAlignment="1">
      <alignment horizontal="center"/>
    </xf>
    <xf numFmtId="0" fontId="21" fillId="14" borderId="47" xfId="0" applyFont="1" applyFill="1" applyBorder="1" applyAlignment="1">
      <alignment horizontal="center" vertical="center"/>
    </xf>
    <xf numFmtId="0" fontId="21" fillId="14" borderId="46" xfId="0" applyFont="1" applyFill="1" applyBorder="1" applyAlignment="1">
      <alignment horizontal="center" vertical="center"/>
    </xf>
    <xf numFmtId="15" fontId="21" fillId="14" borderId="20" xfId="0" applyNumberFormat="1" applyFont="1" applyFill="1" applyBorder="1" applyAlignment="1">
      <alignment horizontal="left" vertical="top"/>
    </xf>
    <xf numFmtId="0" fontId="21" fillId="14" borderId="21" xfId="0" applyFont="1" applyFill="1" applyBorder="1" applyAlignment="1">
      <alignment horizontal="left" vertical="top"/>
    </xf>
    <xf numFmtId="15" fontId="0" fillId="14" borderId="56" xfId="0" applyNumberFormat="1" applyFill="1" applyBorder="1" applyAlignment="1">
      <alignment horizontal="center"/>
    </xf>
    <xf numFmtId="15" fontId="0" fillId="14" borderId="13" xfId="0" applyNumberFormat="1" applyFill="1" applyBorder="1" applyAlignment="1">
      <alignment horizontal="center"/>
    </xf>
    <xf numFmtId="15" fontId="0" fillId="14" borderId="11" xfId="0" applyNumberFormat="1" applyFill="1" applyBorder="1" applyAlignment="1">
      <alignment horizontal="center"/>
    </xf>
    <xf numFmtId="0" fontId="0" fillId="11" borderId="13" xfId="0" applyFill="1" applyBorder="1" applyAlignment="1">
      <alignment horizontal="center"/>
    </xf>
    <xf numFmtId="0" fontId="21" fillId="14" borderId="42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9" borderId="54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3" fillId="9" borderId="2" xfId="0" applyFont="1" applyFill="1" applyBorder="1" applyAlignment="1">
      <alignment horizontal="center"/>
    </xf>
    <xf numFmtId="0" fontId="3" fillId="9" borderId="55" xfId="0" applyFont="1" applyFill="1" applyBorder="1" applyAlignment="1">
      <alignment horizontal="center"/>
    </xf>
    <xf numFmtId="0" fontId="3" fillId="9" borderId="2" xfId="0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 vertical="center"/>
    </xf>
    <xf numFmtId="0" fontId="3" fillId="9" borderId="30" xfId="0" applyFont="1" applyFill="1" applyBorder="1" applyAlignment="1">
      <alignment horizontal="center" vertical="center"/>
    </xf>
    <xf numFmtId="15" fontId="0" fillId="14" borderId="42" xfId="0" applyNumberFormat="1" applyFill="1" applyBorder="1" applyAlignment="1">
      <alignment horizontal="center"/>
    </xf>
    <xf numFmtId="0" fontId="0" fillId="14" borderId="42" xfId="0" applyFill="1" applyBorder="1" applyAlignment="1">
      <alignment horizontal="center"/>
    </xf>
    <xf numFmtId="0" fontId="0" fillId="14" borderId="26" xfId="0" applyFill="1" applyBorder="1" applyAlignment="1">
      <alignment horizontal="center"/>
    </xf>
    <xf numFmtId="15" fontId="0" fillId="14" borderId="25" xfId="0" applyNumberFormat="1" applyFill="1" applyBorder="1" applyAlignment="1">
      <alignment horizontal="center"/>
    </xf>
    <xf numFmtId="15" fontId="0" fillId="14" borderId="26" xfId="0" applyNumberFormat="1" applyFill="1" applyBorder="1" applyAlignment="1">
      <alignment horizontal="center"/>
    </xf>
    <xf numFmtId="15" fontId="0" fillId="11" borderId="25" xfId="0" applyNumberFormat="1" applyFill="1" applyBorder="1" applyAlignment="1">
      <alignment horizontal="center"/>
    </xf>
    <xf numFmtId="15" fontId="0" fillId="11" borderId="42" xfId="0" applyNumberFormat="1" applyFill="1" applyBorder="1" applyAlignment="1">
      <alignment horizontal="center"/>
    </xf>
    <xf numFmtId="0" fontId="0" fillId="11" borderId="42" xfId="0" applyFill="1" applyBorder="1" applyAlignment="1">
      <alignment horizontal="center"/>
    </xf>
    <xf numFmtId="0" fontId="0" fillId="11" borderId="26" xfId="0" applyFill="1" applyBorder="1" applyAlignment="1">
      <alignment horizontal="center"/>
    </xf>
    <xf numFmtId="15" fontId="0" fillId="10" borderId="25" xfId="0" applyNumberFormat="1" applyFill="1" applyBorder="1" applyAlignment="1">
      <alignment horizontal="center"/>
    </xf>
    <xf numFmtId="15" fontId="0" fillId="10" borderId="42" xfId="0" applyNumberFormat="1" applyFill="1" applyBorder="1" applyAlignment="1">
      <alignment horizontal="center"/>
    </xf>
    <xf numFmtId="0" fontId="0" fillId="10" borderId="42" xfId="0" applyFill="1" applyBorder="1" applyAlignment="1">
      <alignment horizontal="center"/>
    </xf>
    <xf numFmtId="0" fontId="0" fillId="10" borderId="26" xfId="0" applyFill="1" applyBorder="1" applyAlignment="1">
      <alignment horizontal="center"/>
    </xf>
    <xf numFmtId="0" fontId="0" fillId="10" borderId="10" xfId="0" applyFill="1" applyBorder="1" applyAlignment="1">
      <alignment horizontal="center"/>
    </xf>
    <xf numFmtId="0" fontId="0" fillId="10" borderId="35" xfId="0" applyFill="1" applyBorder="1" applyAlignment="1">
      <alignment horizontal="center"/>
    </xf>
    <xf numFmtId="0" fontId="0" fillId="10" borderId="34" xfId="0" applyFill="1" applyBorder="1" applyAlignment="1">
      <alignment horizontal="center"/>
    </xf>
    <xf numFmtId="15" fontId="0" fillId="10" borderId="11" xfId="0" applyNumberFormat="1" applyFill="1" applyBorder="1" applyAlignment="1">
      <alignment horizontal="center"/>
    </xf>
    <xf numFmtId="0" fontId="0" fillId="10" borderId="12" xfId="0" applyFill="1" applyBorder="1" applyAlignment="1">
      <alignment horizontal="center"/>
    </xf>
    <xf numFmtId="0" fontId="5" fillId="9" borderId="32" xfId="0" applyFont="1" applyFill="1" applyBorder="1" applyAlignment="1">
      <alignment horizontal="center" vertical="center"/>
    </xf>
    <xf numFmtId="0" fontId="20" fillId="9" borderId="32" xfId="0" applyFont="1" applyFill="1" applyBorder="1" applyAlignment="1">
      <alignment horizontal="center" vertical="center" wrapText="1"/>
    </xf>
    <xf numFmtId="0" fontId="20" fillId="9" borderId="33" xfId="0" applyFont="1" applyFill="1" applyBorder="1" applyAlignment="1">
      <alignment horizontal="center" vertical="center" wrapText="1"/>
    </xf>
    <xf numFmtId="0" fontId="20" fillId="9" borderId="11" xfId="0" applyFont="1" applyFill="1" applyBorder="1" applyAlignment="1">
      <alignment horizontal="center" vertical="center" wrapText="1"/>
    </xf>
    <xf numFmtId="0" fontId="20" fillId="9" borderId="12" xfId="0" applyFont="1" applyFill="1" applyBorder="1" applyAlignment="1">
      <alignment horizontal="center" vertical="center" wrapText="1"/>
    </xf>
    <xf numFmtId="0" fontId="5" fillId="9" borderId="31" xfId="0" applyFont="1" applyFill="1" applyBorder="1" applyAlignment="1">
      <alignment horizontal="center" vertical="center"/>
    </xf>
    <xf numFmtId="0" fontId="6" fillId="9" borderId="32" xfId="0" applyFont="1" applyFill="1" applyBorder="1" applyAlignment="1">
      <alignment horizontal="center" vertical="center"/>
    </xf>
    <xf numFmtId="0" fontId="5" fillId="9" borderId="56" xfId="0" applyFont="1" applyFill="1" applyBorder="1" applyAlignment="1">
      <alignment horizontal="center" vertical="center"/>
    </xf>
    <xf numFmtId="0" fontId="5" fillId="9" borderId="13" xfId="0" applyFont="1" applyFill="1" applyBorder="1" applyAlignment="1">
      <alignment horizontal="center" vertical="center"/>
    </xf>
    <xf numFmtId="0" fontId="5" fillId="9" borderId="11" xfId="0" applyFont="1" applyFill="1" applyBorder="1" applyAlignment="1">
      <alignment horizontal="center" vertical="center"/>
    </xf>
    <xf numFmtId="0" fontId="5" fillId="9" borderId="45" xfId="0" applyFont="1" applyFill="1" applyBorder="1" applyAlignment="1">
      <alignment horizontal="center" vertical="center"/>
    </xf>
    <xf numFmtId="0" fontId="20" fillId="9" borderId="11" xfId="0" applyFont="1" applyFill="1" applyBorder="1" applyAlignment="1">
      <alignment horizontal="center" wrapText="1"/>
    </xf>
    <xf numFmtId="0" fontId="20" fillId="9" borderId="13" xfId="0" applyFont="1" applyFill="1" applyBorder="1" applyAlignment="1">
      <alignment horizontal="center" wrapText="1"/>
    </xf>
    <xf numFmtId="0" fontId="20" fillId="9" borderId="45" xfId="0" applyFont="1" applyFill="1" applyBorder="1" applyAlignment="1">
      <alignment horizontal="center" wrapText="1"/>
    </xf>
    <xf numFmtId="0" fontId="20" fillId="9" borderId="13" xfId="0" applyFont="1" applyFill="1" applyBorder="1" applyAlignment="1">
      <alignment horizontal="center" vertical="center" wrapText="1"/>
    </xf>
    <xf numFmtId="0" fontId="3" fillId="9" borderId="29" xfId="0" applyFont="1" applyFill="1" applyBorder="1" applyAlignment="1">
      <alignment horizontal="center" vertical="center"/>
    </xf>
    <xf numFmtId="0" fontId="3" fillId="9" borderId="55" xfId="0" applyFont="1" applyFill="1" applyBorder="1" applyAlignment="1">
      <alignment horizontal="center" vertical="center"/>
    </xf>
    <xf numFmtId="0" fontId="3" fillId="9" borderId="19" xfId="0" applyFont="1" applyFill="1" applyBorder="1" applyAlignment="1">
      <alignment horizontal="center" vertical="center"/>
    </xf>
    <xf numFmtId="0" fontId="33" fillId="0" borderId="40" xfId="0" applyFont="1" applyBorder="1" applyAlignment="1">
      <alignment horizontal="center"/>
    </xf>
    <xf numFmtId="0" fontId="33" fillId="0" borderId="38" xfId="0" applyFont="1" applyBorder="1" applyAlignment="1">
      <alignment horizontal="center"/>
    </xf>
    <xf numFmtId="0" fontId="23" fillId="9" borderId="36" xfId="0" applyFont="1" applyFill="1" applyBorder="1" applyAlignment="1">
      <alignment horizontal="center" vertical="center" wrapText="1"/>
    </xf>
    <xf numFmtId="0" fontId="23" fillId="9" borderId="28" xfId="0" applyFont="1" applyFill="1" applyBorder="1" applyAlignment="1">
      <alignment horizontal="center" vertical="center"/>
    </xf>
    <xf numFmtId="0" fontId="23" fillId="9" borderId="24" xfId="0" applyFont="1" applyFill="1" applyBorder="1" applyAlignment="1">
      <alignment horizontal="center" vertical="center"/>
    </xf>
    <xf numFmtId="0" fontId="23" fillId="9" borderId="3" xfId="0" applyFont="1" applyFill="1" applyBorder="1" applyAlignment="1">
      <alignment horizontal="center" vertical="center"/>
    </xf>
    <xf numFmtId="0" fontId="23" fillId="9" borderId="1" xfId="0" applyFont="1" applyFill="1" applyBorder="1" applyAlignment="1">
      <alignment horizontal="center" vertical="center"/>
    </xf>
    <xf numFmtId="0" fontId="23" fillId="9" borderId="30" xfId="0" applyFont="1" applyFill="1" applyBorder="1" applyAlignment="1">
      <alignment horizontal="center" vertical="center"/>
    </xf>
    <xf numFmtId="0" fontId="23" fillId="9" borderId="40" xfId="0" applyFont="1" applyFill="1" applyBorder="1" applyAlignment="1">
      <alignment horizontal="center" vertical="center" wrapText="1"/>
    </xf>
    <xf numFmtId="0" fontId="23" fillId="9" borderId="39" xfId="0" applyFont="1" applyFill="1" applyBorder="1" applyAlignment="1">
      <alignment horizontal="center" vertical="center" wrapText="1"/>
    </xf>
    <xf numFmtId="0" fontId="23" fillId="9" borderId="38" xfId="0" applyFont="1" applyFill="1" applyBorder="1" applyAlignment="1">
      <alignment horizontal="center" vertical="center" wrapText="1"/>
    </xf>
    <xf numFmtId="0" fontId="23" fillId="9" borderId="43" xfId="0" applyFont="1" applyFill="1" applyBorder="1" applyAlignment="1">
      <alignment horizontal="center" vertical="center" wrapText="1"/>
    </xf>
    <xf numFmtId="0" fontId="23" fillId="9" borderId="23" xfId="0" applyFont="1" applyFill="1" applyBorder="1" applyAlignment="1">
      <alignment horizontal="center" vertical="center" wrapText="1"/>
    </xf>
    <xf numFmtId="0" fontId="23" fillId="9" borderId="44" xfId="0" applyFont="1" applyFill="1" applyBorder="1" applyAlignment="1">
      <alignment horizontal="center" vertical="center" wrapText="1"/>
    </xf>
    <xf numFmtId="0" fontId="23" fillId="9" borderId="27" xfId="0" applyFont="1" applyFill="1" applyBorder="1" applyAlignment="1">
      <alignment horizontal="center" vertical="center" wrapText="1"/>
    </xf>
    <xf numFmtId="0" fontId="23" fillId="9" borderId="28" xfId="0" applyFont="1" applyFill="1" applyBorder="1" applyAlignment="1">
      <alignment horizontal="center" vertical="center" wrapText="1"/>
    </xf>
    <xf numFmtId="0" fontId="23" fillId="9" borderId="24" xfId="0" applyFont="1" applyFill="1" applyBorder="1" applyAlignment="1">
      <alignment horizontal="center" vertical="center" wrapText="1"/>
    </xf>
    <xf numFmtId="0" fontId="4" fillId="9" borderId="43" xfId="0" applyFont="1" applyFill="1" applyBorder="1" applyAlignment="1">
      <alignment horizontal="center" vertical="center" wrapText="1"/>
    </xf>
    <xf numFmtId="0" fontId="4" fillId="9" borderId="23" xfId="0" applyFont="1" applyFill="1" applyBorder="1" applyAlignment="1">
      <alignment horizontal="center" vertical="center" wrapText="1"/>
    </xf>
    <xf numFmtId="0" fontId="4" fillId="9" borderId="53" xfId="0" applyFont="1" applyFill="1" applyBorder="1" applyAlignment="1">
      <alignment horizontal="center" vertical="center" wrapText="1"/>
    </xf>
    <xf numFmtId="0" fontId="23" fillId="9" borderId="29" xfId="0" applyFont="1" applyFill="1" applyBorder="1" applyAlignment="1">
      <alignment horizontal="center" vertical="center" wrapText="1"/>
    </xf>
    <xf numFmtId="0" fontId="23" fillId="9" borderId="1" xfId="0" applyFont="1" applyFill="1" applyBorder="1" applyAlignment="1">
      <alignment horizontal="center" vertical="center" wrapText="1"/>
    </xf>
    <xf numFmtId="0" fontId="23" fillId="9" borderId="30" xfId="0" applyFont="1" applyFill="1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/>
    </xf>
  </cellXfs>
  <cellStyles count="5">
    <cellStyle name="Good" xfId="1" builtinId="26"/>
    <cellStyle name="Hyperlink" xfId="4" builtinId="8"/>
    <cellStyle name="Normal" xfId="0" builtinId="0"/>
    <cellStyle name="Note" xfId="2" builtinId="10"/>
    <cellStyle name="Percent" xfId="3" builtinId="5"/>
  </cellStyles>
  <dxfs count="201"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</dxfs>
  <tableStyles count="0" defaultTableStyle="TableStyleMedium2" defaultPivotStyle="PivotStyleLight16"/>
  <colors>
    <mruColors>
      <color rgb="FFFF9999"/>
      <color rgb="FFFFFFCC"/>
      <color rgb="FFFF7C80"/>
      <color rgb="FFFFCCCC"/>
      <color rgb="FFF8F5BE"/>
      <color rgb="FFFFFF65"/>
      <color rgb="FFFFFF99"/>
      <color rgb="FFF4F3D5"/>
      <color rgb="FFE8E8A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26" Type="http://schemas.openxmlformats.org/officeDocument/2006/relationships/customXml" Target="../customXml/item10.xml"/><Relationship Id="rId21" Type="http://schemas.openxmlformats.org/officeDocument/2006/relationships/customXml" Target="../customXml/item5.xml"/><Relationship Id="rId34" Type="http://schemas.openxmlformats.org/officeDocument/2006/relationships/customXml" Target="../customXml/item18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5" Type="http://schemas.openxmlformats.org/officeDocument/2006/relationships/customXml" Target="../customXml/item9.xml"/><Relationship Id="rId33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29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24" Type="http://schemas.openxmlformats.org/officeDocument/2006/relationships/customXml" Target="../customXml/item8.xml"/><Relationship Id="rId32" Type="http://schemas.openxmlformats.org/officeDocument/2006/relationships/customXml" Target="../customXml/item16.xml"/><Relationship Id="rId37" Type="http://schemas.openxmlformats.org/officeDocument/2006/relationships/customXml" Target="../customXml/item21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23" Type="http://schemas.openxmlformats.org/officeDocument/2006/relationships/customXml" Target="../customXml/item7.xml"/><Relationship Id="rId28" Type="http://schemas.openxmlformats.org/officeDocument/2006/relationships/customXml" Target="../customXml/item12.xml"/><Relationship Id="rId36" Type="http://schemas.openxmlformats.org/officeDocument/2006/relationships/customXml" Target="../customXml/item20.xml"/><Relationship Id="rId10" Type="http://schemas.openxmlformats.org/officeDocument/2006/relationships/pivotCacheDefinition" Target="pivotCache/pivotCacheDefinition1.xml"/><Relationship Id="rId19" Type="http://schemas.openxmlformats.org/officeDocument/2006/relationships/customXml" Target="../customXml/item3.xml"/><Relationship Id="rId31" Type="http://schemas.openxmlformats.org/officeDocument/2006/relationships/customXml" Target="../customXml/item1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Relationship Id="rId22" Type="http://schemas.openxmlformats.org/officeDocument/2006/relationships/customXml" Target="../customXml/item6.xml"/><Relationship Id="rId27" Type="http://schemas.openxmlformats.org/officeDocument/2006/relationships/customXml" Target="../customXml/item11.xml"/><Relationship Id="rId30" Type="http://schemas.openxmlformats.org/officeDocument/2006/relationships/customXml" Target="../customXml/item14.xml"/><Relationship Id="rId35" Type="http://schemas.openxmlformats.org/officeDocument/2006/relationships/customXml" Target="../customXml/item19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x-PC" refreshedDate="45926.061087037036" backgroundQuery="1" createdVersion="8" refreshedVersion="8" minRefreshableVersion="3" recordCount="0" supportSubquery="1" supportAdvancedDrill="1" xr:uid="{1E92CEFA-F85D-4124-A09C-5DBA1E0F65DE}">
  <cacheSource type="external" connectionId="4"/>
  <cacheFields count="11">
    <cacheField name="[SLC_Anexos].[DESCRIPTION].[DESCRIPTION]" caption="DESCRIPTION" numFmtId="0" hierarchy="14" level="1">
      <sharedItems count="18">
        <s v="Revisión de tendencias de parámetros críticos deproceso, controles en proceso críticos y rendimientos"/>
        <s v="Calificación de desempeño del proceso de proceso"/>
        <s v="Material de empaque primario/ SM/ KASM"/>
        <s v="Controles de cambio"/>
        <s v="Desviaciones"/>
        <s v="Evaluación de riesgo para detección de posible interrupción de suministro de producto"/>
        <s v="Estabilidades" u="1"/>
        <s v="Proveedores de servicios analíticos" u="1"/>
        <s v="Quejas" u="1"/>
        <s v="Retiro del producto del mercado" u="1"/>
        <s v="Estatus de equipos y servicios" u="1"/>
        <s v="Devoluciones" u="1"/>
        <s v="Acuerdos de calidad con fabricantes y provedores de servicios analíticos" u="1"/>
        <s v="Revisión de muestras de retención" u="1"/>
        <s v="Mantenimiento del estado validado métodos analíticos" u="1"/>
        <s v="Ruta de síntesis" u="1"/>
        <s v="Resultados y gráficos de tendencias de análisis de PT y controles en proceso críticos" u="1"/>
        <s v="Resultados OOS y OOT" u="1"/>
      </sharedItems>
    </cacheField>
    <cacheField name="[SLC_Anexos].[ANNEX].[ANNEX]" caption="ANNEX" numFmtId="0" hierarchy="13" level="1">
      <sharedItems containsSemiMixedTypes="0" containsString="0" containsNumber="1" containsInteger="1" minValue="1" maxValue="18" count="18">
        <n v="2"/>
        <n v="11"/>
        <n v="3"/>
        <n v="6"/>
        <n v="8"/>
        <n v="18"/>
        <n v="4" u="1"/>
        <n v="14" u="1"/>
        <n v="9" u="1"/>
        <n v="10" u="1"/>
        <n v="12" u="1"/>
        <n v="13" u="1"/>
        <n v="15" u="1"/>
        <n v="16" u="1"/>
        <n v="17" u="1"/>
        <n v="1" u="1"/>
        <n v="5" u="1"/>
        <n v="7" u="1"/>
      </sharedItems>
      <extLst>
        <ext xmlns:x15="http://schemas.microsoft.com/office/spreadsheetml/2010/11/main" uri="{4F2E5C28-24EA-4eb8-9CBF-B6C8F9C3D259}">
          <x15:cachedUniqueNames>
            <x15:cachedUniqueName index="0" name="[SLC_Anexos].[ANNEX].&amp;[2]"/>
            <x15:cachedUniqueName index="1" name="[SLC_Anexos].[ANNEX].&amp;[11]"/>
            <x15:cachedUniqueName index="2" name="[SLC_Anexos].[ANNEX].&amp;[3]"/>
            <x15:cachedUniqueName index="3" name="[SLC_Anexos].[ANNEX].&amp;[6]"/>
            <x15:cachedUniqueName index="4" name="[SLC_Anexos].[ANNEX].&amp;[8]"/>
            <x15:cachedUniqueName index="5" name="[SLC_Anexos].[ANNEX].&amp;[18]"/>
            <x15:cachedUniqueName index="6" name="[SLC_Anexos].[ANNEX].&amp;[4]"/>
            <x15:cachedUniqueName index="7" name="[SLC_Anexos].[ANNEX].&amp;[14]"/>
            <x15:cachedUniqueName index="8" name="[SLC_Anexos].[ANNEX].&amp;[9]"/>
            <x15:cachedUniqueName index="9" name="[SLC_Anexos].[ANNEX].&amp;[10]"/>
            <x15:cachedUniqueName index="10" name="[SLC_Anexos].[ANNEX].&amp;[12]"/>
            <x15:cachedUniqueName index="11" name="[SLC_Anexos].[ANNEX].&amp;[13]"/>
            <x15:cachedUniqueName index="12" name="[SLC_Anexos].[ANNEX].&amp;[15]"/>
            <x15:cachedUniqueName index="13" name="[SLC_Anexos].[ANNEX].&amp;[16]"/>
            <x15:cachedUniqueName index="14" name="[SLC_Anexos].[ANNEX].&amp;[17]"/>
            <x15:cachedUniqueName index="15" name="[SLC_Anexos].[ANNEX].&amp;[1]"/>
            <x15:cachedUniqueName index="16" name="[SLC_Anexos].[ANNEX].&amp;[5]"/>
            <x15:cachedUniqueName index="17" name="[SLC_Anexos].[ANNEX].&amp;[7]"/>
          </x15:cachedUniqueNames>
        </ext>
      </extLst>
    </cacheField>
    <cacheField name="[DB_Records].[CICLE].[CICLE]" caption="CICLE" numFmtId="0" level="1">
      <sharedItems containsSemiMixedTypes="0" containsString="0" containsNumber="1" containsInteger="1" minValue="5" maxValue="5" count="1">
        <n v="5"/>
      </sharedItems>
      <extLst>
        <ext xmlns:x15="http://schemas.microsoft.com/office/spreadsheetml/2010/11/main" uri="{4F2E5C28-24EA-4eb8-9CBF-B6C8F9C3D259}">
          <x15:cachedUniqueNames>
            <x15:cachedUniqueName index="0" name="[DB_Records].[CICLE].&amp;[5]"/>
          </x15:cachedUniqueNames>
        </ext>
      </extLst>
    </cacheField>
    <cacheField name="[DB_Records].[API].[API]" caption="API" numFmtId="0" hierarchy="5" level="1">
      <sharedItems count="4">
        <s v="5-FU"/>
        <s v="ACA"/>
        <s v="AZT"/>
        <s v="VTL"/>
      </sharedItems>
    </cacheField>
    <cacheField name="[DB_Records].[ID].[ID]" caption="ID" numFmtId="0" hierarchy="4" level="1">
      <sharedItems count="1">
        <s v="5-FU"/>
      </sharedItems>
    </cacheField>
    <cacheField name="[SLC_Anexos].[RESPONSIBLE AREA].[RESPONSIBLE AREA]" caption="RESPONSIBLE AREA" numFmtId="0" hierarchy="15" level="1">
      <sharedItems count="4">
        <s v="PR"/>
        <s v="QS"/>
        <s v="QA"/>
        <s v="QS/SC"/>
      </sharedItems>
    </cacheField>
    <cacheField name="[SLC_Distribution].[Correos concatenados].[Correos concatenados]" caption="Correos concatenados" numFmtId="0" hierarchy="17" level="1">
      <sharedItems count="1">
        <s v="arosasr754@alumno.uaemex.mx"/>
      </sharedItems>
    </cacheField>
    <cacheField name="[DB_Records].[PLANT].[PLANT]" caption="PLANT" numFmtId="0" hierarchy="7" level="1">
      <sharedItems count="6">
        <s v="P12"/>
        <s v="P04&amp;P08/P12"/>
        <s v="P01&amp;P02"/>
        <s v="P03"/>
        <s v="P09"/>
        <s v="P04/P09"/>
      </sharedItems>
    </cacheField>
    <cacheField name="[DB_Records].[Total Pending].[Total Pending]" caption="Total Pending" numFmtId="0" hierarchy="12" level="1">
      <sharedItems containsSemiMixedTypes="0" containsString="0" containsNumber="1" containsInteger="1" minValue="1" maxValue="1" count="1">
        <n v="1"/>
      </sharedItems>
    </cacheField>
    <cacheField name="[DB_Records].[CODE].[CODE]" caption="CODE" numFmtId="0" hierarchy="1" level="1">
      <sharedItems count="5">
        <s v="40550, 40500, 46500"/>
        <s v="40058"/>
        <s v="40180"/>
        <s v="40190"/>
        <s v="43500, 43510"/>
      </sharedItems>
    </cacheField>
    <cacheField name="[Measures].[Sum of Total Pending]" caption="Sum of Total Pending" numFmtId="0" hierarchy="27" level="32767"/>
  </cacheFields>
  <cacheHierarchies count="28">
    <cacheHierarchy uniqueName="[DB_Records].[CICLE]" caption="CICLE" attribute="1" defaultMemberUniqueName="[DB_Records].[CICLE].[All]" allUniqueName="[DB_Records].[CICLE].[All]" dimensionUniqueName="[DB_Records]" displayFolder="" count="2" memberValueDatatype="20" unbalanced="0">
      <fieldsUsage count="2">
        <fieldUsage x="-1"/>
        <fieldUsage x="2"/>
      </fieldsUsage>
    </cacheHierarchy>
    <cacheHierarchy uniqueName="[DB_Records].[CODE]" caption="CODE" attribute="1" defaultMemberUniqueName="[DB_Records].[CODE].[All]" allUniqueName="[DB_Records].[CODE].[All]" dimensionUniqueName="[DB_Records]" displayFolder="" count="2" memberValueDatatype="130" unbalanced="0">
      <fieldsUsage count="2">
        <fieldUsage x="-1"/>
        <fieldUsage x="9"/>
      </fieldsUsage>
    </cacheHierarchy>
    <cacheHierarchy uniqueName="[DB_Records].[RAP PERIOD START]" caption="RAP PERIOD START" attribute="1" time="1" defaultMemberUniqueName="[DB_Records].[RAP PERIOD START].[All]" allUniqueName="[DB_Records].[RAP PERIOD START].[All]" dimensionUniqueName="[DB_Records]" displayFolder="" count="0" memberValueDatatype="7" unbalanced="0"/>
    <cacheHierarchy uniqueName="[DB_Records].[RAP PERIOD END]" caption="RAP PERIOD END" attribute="1" time="1" defaultMemberUniqueName="[DB_Records].[RAP PERIOD END].[All]" allUniqueName="[DB_Records].[RAP PERIOD END].[All]" dimensionUniqueName="[DB_Records]" displayFolder="" count="0" memberValueDatatype="7" unbalanced="0"/>
    <cacheHierarchy uniqueName="[DB_Records].[ID]" caption="ID" attribute="1" defaultMemberUniqueName="[DB_Records].[ID].[All]" allUniqueName="[DB_Records].[ID].[All]" dimensionUniqueName="[DB_Records]" displayFolder="" count="2" memberValueDatatype="130" unbalanced="0">
      <fieldsUsage count="2">
        <fieldUsage x="-1"/>
        <fieldUsage x="4"/>
      </fieldsUsage>
    </cacheHierarchy>
    <cacheHierarchy uniqueName="[DB_Records].[API]" caption="API" attribute="1" defaultMemberUniqueName="[DB_Records].[API].[All]" allUniqueName="[DB_Records].[API].[All]" dimensionUniqueName="[DB_Records]" displayFolder="" count="2" memberValueDatatype="130" unbalanced="0">
      <fieldsUsage count="2">
        <fieldUsage x="-1"/>
        <fieldUsage x="3"/>
      </fieldsUsage>
    </cacheHierarchy>
    <cacheHierarchy uniqueName="[DB_Records].[ANNEX]" caption="ANNEX" attribute="1" defaultMemberUniqueName="[DB_Records].[ANNEX].[All]" allUniqueName="[DB_Records].[ANNEX].[All]" dimensionUniqueName="[DB_Records]" displayFolder="" count="0" memberValueDatatype="20" unbalanced="0"/>
    <cacheHierarchy uniqueName="[DB_Records].[PLANT]" caption="PLANT" attribute="1" defaultMemberUniqueName="[DB_Records].[PLANT].[All]" allUniqueName="[DB_Records].[PLANT].[All]" dimensionUniqueName="[DB_Records]" displayFolder="" count="2" memberValueDatatype="130" unbalanced="0">
      <fieldsUsage count="2">
        <fieldUsage x="-1"/>
        <fieldUsage x="7"/>
      </fieldsUsage>
    </cacheHierarchy>
    <cacheHierarchy uniqueName="[DB_Records].[Received]" caption="Received" attribute="1" defaultMemberUniqueName="[DB_Records].[Received].[All]" allUniqueName="[DB_Records].[Received].[All]" dimensionUniqueName="[DB_Records]" displayFolder="" count="0" memberValueDatatype="20" unbalanced="0"/>
    <cacheHierarchy uniqueName="[DB_Records].[Scanned]" caption="Scanned" attribute="1" defaultMemberUniqueName="[DB_Records].[Scanned].[All]" allUniqueName="[DB_Records].[Scanned].[All]" dimensionUniqueName="[DB_Records]" displayFolder="" count="0" memberValueDatatype="20" unbalanced="0"/>
    <cacheHierarchy uniqueName="[DB_Records].[Pending Receipt]" caption="Pending Receipt" attribute="1" defaultMemberUniqueName="[DB_Records].[Pending Receipt].[All]" allUniqueName="[DB_Records].[Pending Receipt].[All]" dimensionUniqueName="[DB_Records]" displayFolder="" count="0" memberValueDatatype="20" unbalanced="0"/>
    <cacheHierarchy uniqueName="[DB_Records].[Pending &gt; 1 Month]" caption="Pending &gt; 1 Month" attribute="1" defaultMemberUniqueName="[DB_Records].[Pending &gt; 1 Month].[All]" allUniqueName="[DB_Records].[Pending &gt; 1 Month].[All]" dimensionUniqueName="[DB_Records]" displayFolder="" count="0" memberValueDatatype="20" unbalanced="0"/>
    <cacheHierarchy uniqueName="[DB_Records].[Total Pending]" caption="Total Pending" attribute="1" defaultMemberUniqueName="[DB_Records].[Total Pending].[All]" allUniqueName="[DB_Records].[Total Pending].[All]" dimensionUniqueName="[DB_Records]" displayFolder="" count="2" memberValueDatatype="5" unbalanced="0">
      <fieldsUsage count="2">
        <fieldUsage x="-1"/>
        <fieldUsage x="8"/>
      </fieldsUsage>
    </cacheHierarchy>
    <cacheHierarchy uniqueName="[SLC_Anexos].[ANNEX]" caption="ANNEX" attribute="1" defaultMemberUniqueName="[SLC_Anexos].[ANNEX].[All]" allUniqueName="[SLC_Anexos].[ANNEX].[All]" dimensionUniqueName="[SLC_Anexos]" displayFolder="" count="2" memberValueDatatype="20" unbalanced="0">
      <fieldsUsage count="2">
        <fieldUsage x="-1"/>
        <fieldUsage x="1"/>
      </fieldsUsage>
    </cacheHierarchy>
    <cacheHierarchy uniqueName="[SLC_Anexos].[DESCRIPTION]" caption="DESCRIPTION" attribute="1" defaultMemberUniqueName="[SLC_Anexos].[DESCRIPTION].[All]" allUniqueName="[SLC_Anexos].[DESCRIPTION].[All]" dimensionUniqueName="[SLC_Anexos]" displayFolder="" count="2" memberValueDatatype="130" unbalanced="0">
      <fieldsUsage count="2">
        <fieldUsage x="-1"/>
        <fieldUsage x="0"/>
      </fieldsUsage>
    </cacheHierarchy>
    <cacheHierarchy uniqueName="[SLC_Anexos].[RESPONSIBLE AREA]" caption="RESPONSIBLE AREA" attribute="1" defaultMemberUniqueName="[SLC_Anexos].[RESPONSIBLE AREA].[All]" allUniqueName="[SLC_Anexos].[RESPONSIBLE AREA].[All]" dimensionUniqueName="[SLC_Anexos]" displayFolder="" count="2" memberValueDatatype="130" unbalanced="0">
      <fieldsUsage count="2">
        <fieldUsage x="-1"/>
        <fieldUsage x="5"/>
      </fieldsUsage>
    </cacheHierarchy>
    <cacheHierarchy uniqueName="[SLC_Distribution].[AREA]" caption="AREA" attribute="1" defaultMemberUniqueName="[SLC_Distribution].[AREA].[All]" allUniqueName="[SLC_Distribution].[AREA].[All]" dimensionUniqueName="[SLC_Distribution]" displayFolder="" count="0" memberValueDatatype="130" unbalanced="0"/>
    <cacheHierarchy uniqueName="[SLC_Distribution].[Correos concatenados]" caption="Correos concatenados" attribute="1" defaultMemberUniqueName="[SLC_Distribution].[Correos concatenados].[All]" allUniqueName="[SLC_Distribution].[Correos concatenados].[All]" dimensionUniqueName="[SLC_Distribution]" displayFolder="" count="2" memberValueDatatype="130" unbalanced="0">
      <fieldsUsage count="2">
        <fieldUsage x="-1"/>
        <fieldUsage x="6"/>
      </fieldsUsage>
    </cacheHierarchy>
    <cacheHierarchy uniqueName="[Measures].[__XL_Count DB_Records]" caption="__XL_Count DB_Records" measure="1" displayFolder="" measureGroup="DB_Records" count="0" hidden="1"/>
    <cacheHierarchy uniqueName="[Measures].[__XL_Count SLC_Anexos]" caption="__XL_Count SLC_Anexos" measure="1" displayFolder="" measureGroup="SLC_Anexos" count="0" hidden="1"/>
    <cacheHierarchy uniqueName="[Measures].[__XL_Count SLC_Distribution]" caption="__XL_Count SLC_Distribution" measure="1" displayFolder="" measureGroup="SLC_Distribution" count="0" hidden="1"/>
    <cacheHierarchy uniqueName="[Measures].[__No measures defined]" caption="__No measures defined" measure="1" displayFolder="" count="0" hidden="1"/>
    <cacheHierarchy uniqueName="[Measures].[Sum of ANNEX]" caption="Sum of ANNEX" measure="1" displayFolder="" measureGroup="DB_Record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Received]" caption="Sum of Received" measure="1" displayFolder="" measureGroup="DB_Record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Scanned]" caption="Sum of Scanned" measure="1" displayFolder="" measureGroup="DB_Record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Pending Receipt]" caption="Sum of Pending Receipt" measure="1" displayFolder="" measureGroup="DB_Record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Pending &gt; 1 Month]" caption="Sum of Pending &gt; 1 Month" measure="1" displayFolder="" measureGroup="DB_Record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Total Pending]" caption="Sum of Total Pending" measure="1" displayFolder="" measureGroup="DB_Records" count="0" oneField="1" hidden="1">
      <fieldsUsage count="1">
        <fieldUsage x="10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4">
    <dimension name="DB_Records" uniqueName="[DB_Records]" caption="DB_Records"/>
    <dimension measure="1" name="Measures" uniqueName="[Measures]" caption="Measures"/>
    <dimension name="SLC_Anexos" uniqueName="[SLC_Anexos]" caption="SLC_Anexos"/>
    <dimension name="SLC_Distribution" uniqueName="[SLC_Distribution]" caption="SLC_Distribution"/>
  </dimensions>
  <measureGroups count="3">
    <measureGroup name="DB_Records" caption="DB_Records"/>
    <measureGroup name="SLC_Anexos" caption="SLC_Anexos"/>
    <measureGroup name="SLC_Distribution" caption="SLC_Distribution"/>
  </measureGroups>
  <maps count="6">
    <map measureGroup="0" dimension="0"/>
    <map measureGroup="0" dimension="2"/>
    <map measureGroup="0" dimension="3"/>
    <map measureGroup="1" dimension="2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5935DE-E04C-4C5A-855A-E6F78D98BF26}" name="PivTbl_Pending" cacheId="6" applyNumberFormats="0" applyBorderFormats="0" applyFontFormats="0" applyPatternFormats="0" applyAlignmentFormats="0" applyWidthHeightFormats="1" dataCaption="Values" tag="d021c97e-95e2-4333-9ca8-c48722ddb984" updatedVersion="8" minRefreshableVersion="3" showDrill="0" subtotalHiddenItems="1" rowGrandTotals="0" colGrandTotals="0" itemPrintTitles="1" createdVersion="8" indent="0" compact="0" compactData="0" multipleFieldFilters="0">
  <location ref="A1:I15" firstHeaderRow="1" firstDataRow="1" firstDataCol="8"/>
  <pivotFields count="11">
    <pivotField axis="axisRow" compact="0" allDrilled="1" outline="0" subtotalTop="0" showAll="0" dataSourceSort="1" defaultSubtotal="0" defaultAttributeDrillState="1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efaultSubtotal="0" defaultAttributeDrillState="1">
      <items count="18">
        <item x="15"/>
        <item x="0"/>
        <item x="2"/>
        <item x="6"/>
        <item x="16"/>
        <item x="3"/>
        <item x="17"/>
        <item x="4"/>
        <item x="8"/>
        <item x="9"/>
        <item x="1"/>
        <item x="10"/>
        <item x="11"/>
        <item x="7"/>
        <item x="12"/>
        <item x="13"/>
        <item x="1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">
        <item s="1"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sortType="ascending" defaultSubtotal="0" defaultAttributeDrillState="1">
      <items count="4">
        <item x="0"/>
        <item x="1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ubtotalTop="0" showAll="0" dataSourceSort="1" defaultSubtotal="0" defaultAttributeDrillState="1">
      <items count="1">
        <item s="1"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4">
        <item x="0"/>
        <item x="1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ubtotalTop="0" showAll="0" dataSourceSort="1" defaultSubtotal="0" defaultAttributeDrillState="1">
      <items count="1">
        <item s="1"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8">
    <field x="2"/>
    <field x="3"/>
    <field x="9"/>
    <field x="1"/>
    <field x="0"/>
    <field x="7"/>
    <field x="5"/>
    <field x="6"/>
  </rowFields>
  <rowItems count="14">
    <i>
      <x/>
      <x/>
      <x/>
      <x v="1"/>
      <x/>
      <x/>
      <x/>
      <x/>
    </i>
    <i r="3">
      <x v="10"/>
      <x v="1"/>
      <x v="1"/>
      <x v="1"/>
      <x/>
    </i>
    <i r="1">
      <x v="1"/>
      <x v="1"/>
      <x v="2"/>
      <x v="2"/>
      <x v="2"/>
      <x v="2"/>
      <x/>
    </i>
    <i r="3">
      <x v="5"/>
      <x v="3"/>
      <x v="2"/>
      <x v="1"/>
      <x/>
    </i>
    <i r="3">
      <x v="7"/>
      <x v="4"/>
      <x v="2"/>
      <x v="2"/>
      <x/>
    </i>
    <i r="3">
      <x v="10"/>
      <x v="1"/>
      <x v="2"/>
      <x v="1"/>
      <x/>
    </i>
    <i r="1">
      <x v="2"/>
      <x v="2"/>
      <x v="2"/>
      <x v="2"/>
      <x v="3"/>
      <x v="2"/>
      <x/>
    </i>
    <i r="3">
      <x v="10"/>
      <x v="1"/>
      <x v="3"/>
      <x v="1"/>
      <x/>
    </i>
    <i r="3">
      <x v="17"/>
      <x v="5"/>
      <x v="3"/>
      <x v="3"/>
      <x/>
    </i>
    <i r="2">
      <x v="3"/>
      <x v="10"/>
      <x v="1"/>
      <x v="3"/>
      <x v="1"/>
      <x/>
    </i>
    <i r="3">
      <x v="17"/>
      <x v="5"/>
      <x v="3"/>
      <x v="3"/>
      <x/>
    </i>
    <i r="1">
      <x v="3"/>
      <x v="4"/>
      <x v="1"/>
      <x/>
      <x v="4"/>
      <x/>
      <x/>
    </i>
    <i r="3">
      <x v="10"/>
      <x v="1"/>
      <x v="5"/>
      <x v="1"/>
      <x/>
    </i>
    <i r="3">
      <x v="17"/>
      <x v="5"/>
      <x v="5"/>
      <x v="3"/>
      <x/>
    </i>
  </rowItems>
  <colItems count="1">
    <i/>
  </colItems>
  <dataFields count="1">
    <dataField name="Sum of Total Pending" fld="10" baseField="0" baseItem="0"/>
  </dataFields>
  <formats count="67">
    <format dxfId="200">
      <pivotArea dataOnly="0" labelOnly="1" outline="0" fieldPosition="0">
        <references count="1">
          <reference field="0" count="0"/>
        </references>
      </pivotArea>
    </format>
    <format dxfId="199">
      <pivotArea type="all" dataOnly="0" outline="0" fieldPosition="0"/>
    </format>
    <format dxfId="198">
      <pivotArea field="1" type="button" dataOnly="0" labelOnly="1" outline="0" axis="axisRow" fieldPosition="3"/>
    </format>
    <format dxfId="197">
      <pivotArea field="0" type="button" dataOnly="0" labelOnly="1" outline="0" axis="axisRow" fieldPosition="4"/>
    </format>
    <format dxfId="196">
      <pivotArea dataOnly="0" labelOnly="1" outline="0" fieldPosition="0">
        <references count="1">
          <reference field="1" count="0"/>
        </references>
      </pivotArea>
    </format>
    <format dxfId="195">
      <pivotArea dataOnly="0" labelOnly="1" outline="0" fieldPosition="0">
        <references count="2">
          <reference field="0" count="1">
            <x v="15"/>
          </reference>
          <reference field="1" count="1" selected="0">
            <x v="0"/>
          </reference>
        </references>
      </pivotArea>
    </format>
    <format dxfId="194">
      <pivotArea dataOnly="0" labelOnly="1" outline="0" fieldPosition="0">
        <references count="2">
          <reference field="0" count="1">
            <x v="0"/>
          </reference>
          <reference field="1" count="1" selected="0">
            <x v="1"/>
          </reference>
        </references>
      </pivotArea>
    </format>
    <format dxfId="193">
      <pivotArea dataOnly="0" labelOnly="1" outline="0" fieldPosition="0">
        <references count="2">
          <reference field="0" count="1">
            <x v="2"/>
          </reference>
          <reference field="1" count="1" selected="0">
            <x v="2"/>
          </reference>
        </references>
      </pivotArea>
    </format>
    <format dxfId="192">
      <pivotArea dataOnly="0" labelOnly="1" outline="0" fieldPosition="0">
        <references count="2">
          <reference field="0" count="1">
            <x v="6"/>
          </reference>
          <reference field="1" count="1" selected="0">
            <x v="3"/>
          </reference>
        </references>
      </pivotArea>
    </format>
    <format dxfId="191">
      <pivotArea dataOnly="0" labelOnly="1" outline="0" fieldPosition="0">
        <references count="2">
          <reference field="0" count="1">
            <x v="16"/>
          </reference>
          <reference field="1" count="1" selected="0">
            <x v="4"/>
          </reference>
        </references>
      </pivotArea>
    </format>
    <format dxfId="190">
      <pivotArea dataOnly="0" labelOnly="1" outline="0" fieldPosition="0">
        <references count="2">
          <reference field="0" count="1">
            <x v="3"/>
          </reference>
          <reference field="1" count="1" selected="0">
            <x v="5"/>
          </reference>
        </references>
      </pivotArea>
    </format>
    <format dxfId="189">
      <pivotArea dataOnly="0" labelOnly="1" outline="0" fieldPosition="0">
        <references count="2">
          <reference field="0" count="1">
            <x v="17"/>
          </reference>
          <reference field="1" count="1" selected="0">
            <x v="6"/>
          </reference>
        </references>
      </pivotArea>
    </format>
    <format dxfId="188">
      <pivotArea dataOnly="0" labelOnly="1" outline="0" fieldPosition="0">
        <references count="2">
          <reference field="0" count="1">
            <x v="4"/>
          </reference>
          <reference field="1" count="1" selected="0">
            <x v="7"/>
          </reference>
        </references>
      </pivotArea>
    </format>
    <format dxfId="187">
      <pivotArea dataOnly="0" labelOnly="1" outline="0" fieldPosition="0">
        <references count="2">
          <reference field="0" count="1">
            <x v="8"/>
          </reference>
          <reference field="1" count="1" selected="0">
            <x v="8"/>
          </reference>
        </references>
      </pivotArea>
    </format>
    <format dxfId="186">
      <pivotArea dataOnly="0" labelOnly="1" outline="0" fieldPosition="0">
        <references count="2">
          <reference field="0" count="1">
            <x v="9"/>
          </reference>
          <reference field="1" count="1" selected="0">
            <x v="9"/>
          </reference>
        </references>
      </pivotArea>
    </format>
    <format dxfId="185">
      <pivotArea dataOnly="0" labelOnly="1" outline="0" fieldPosition="0">
        <references count="2">
          <reference field="0" count="1">
            <x v="1"/>
          </reference>
          <reference field="1" count="1" selected="0">
            <x v="10"/>
          </reference>
        </references>
      </pivotArea>
    </format>
    <format dxfId="184">
      <pivotArea dataOnly="0" labelOnly="1" outline="0" fieldPosition="0">
        <references count="2">
          <reference field="0" count="1">
            <x v="10"/>
          </reference>
          <reference field="1" count="1" selected="0">
            <x v="11"/>
          </reference>
        </references>
      </pivotArea>
    </format>
    <format dxfId="183">
      <pivotArea dataOnly="0" labelOnly="1" outline="0" fieldPosition="0">
        <references count="2">
          <reference field="0" count="1">
            <x v="11"/>
          </reference>
          <reference field="1" count="1" selected="0">
            <x v="12"/>
          </reference>
        </references>
      </pivotArea>
    </format>
    <format dxfId="182">
      <pivotArea dataOnly="0" labelOnly="1" outline="0" fieldPosition="0">
        <references count="2">
          <reference field="0" count="1">
            <x v="7"/>
          </reference>
          <reference field="1" count="1" selected="0">
            <x v="13"/>
          </reference>
        </references>
      </pivotArea>
    </format>
    <format dxfId="181">
      <pivotArea dataOnly="0" labelOnly="1" outline="0" fieldPosition="0">
        <references count="2">
          <reference field="0" count="1">
            <x v="12"/>
          </reference>
          <reference field="1" count="1" selected="0">
            <x v="14"/>
          </reference>
        </references>
      </pivotArea>
    </format>
    <format dxfId="180">
      <pivotArea dataOnly="0" labelOnly="1" outline="0" fieldPosition="0">
        <references count="2">
          <reference field="0" count="1">
            <x v="13"/>
          </reference>
          <reference field="1" count="1" selected="0">
            <x v="15"/>
          </reference>
        </references>
      </pivotArea>
    </format>
    <format dxfId="179">
      <pivotArea dataOnly="0" labelOnly="1" outline="0" fieldPosition="0">
        <references count="2">
          <reference field="0" count="1">
            <x v="14"/>
          </reference>
          <reference field="1" count="1" selected="0">
            <x v="16"/>
          </reference>
        </references>
      </pivotArea>
    </format>
    <format dxfId="178">
      <pivotArea dataOnly="0" labelOnly="1" outline="0" fieldPosition="0">
        <references count="2">
          <reference field="0" count="1">
            <x v="5"/>
          </reference>
          <reference field="1" count="1" selected="0">
            <x v="17"/>
          </reference>
        </references>
      </pivotArea>
    </format>
    <format dxfId="177">
      <pivotArea type="all" dataOnly="0" outline="0" fieldPosition="0"/>
    </format>
    <format dxfId="176">
      <pivotArea field="1" type="button" dataOnly="0" labelOnly="1" outline="0" axis="axisRow" fieldPosition="3"/>
    </format>
    <format dxfId="175">
      <pivotArea field="0" type="button" dataOnly="0" labelOnly="1" outline="0" axis="axisRow" fieldPosition="4"/>
    </format>
    <format dxfId="174">
      <pivotArea dataOnly="0" labelOnly="1" outline="0" fieldPosition="0">
        <references count="1">
          <reference field="1" count="0"/>
        </references>
      </pivotArea>
    </format>
    <format dxfId="173">
      <pivotArea dataOnly="0" labelOnly="1" outline="0" fieldPosition="0">
        <references count="2">
          <reference field="0" count="1">
            <x v="15"/>
          </reference>
          <reference field="1" count="1" selected="0">
            <x v="0"/>
          </reference>
        </references>
      </pivotArea>
    </format>
    <format dxfId="172">
      <pivotArea dataOnly="0" labelOnly="1" outline="0" fieldPosition="0">
        <references count="2">
          <reference field="0" count="1">
            <x v="0"/>
          </reference>
          <reference field="1" count="1" selected="0">
            <x v="1"/>
          </reference>
        </references>
      </pivotArea>
    </format>
    <format dxfId="171">
      <pivotArea dataOnly="0" labelOnly="1" outline="0" fieldPosition="0">
        <references count="2">
          <reference field="0" count="1">
            <x v="2"/>
          </reference>
          <reference field="1" count="1" selected="0">
            <x v="2"/>
          </reference>
        </references>
      </pivotArea>
    </format>
    <format dxfId="170">
      <pivotArea dataOnly="0" labelOnly="1" outline="0" fieldPosition="0">
        <references count="2">
          <reference field="0" count="1">
            <x v="6"/>
          </reference>
          <reference field="1" count="1" selected="0">
            <x v="3"/>
          </reference>
        </references>
      </pivotArea>
    </format>
    <format dxfId="169">
      <pivotArea dataOnly="0" labelOnly="1" outline="0" fieldPosition="0">
        <references count="2">
          <reference field="0" count="1">
            <x v="16"/>
          </reference>
          <reference field="1" count="1" selected="0">
            <x v="4"/>
          </reference>
        </references>
      </pivotArea>
    </format>
    <format dxfId="168">
      <pivotArea dataOnly="0" labelOnly="1" outline="0" fieldPosition="0">
        <references count="2">
          <reference field="0" count="1">
            <x v="3"/>
          </reference>
          <reference field="1" count="1" selected="0">
            <x v="5"/>
          </reference>
        </references>
      </pivotArea>
    </format>
    <format dxfId="167">
      <pivotArea dataOnly="0" labelOnly="1" outline="0" fieldPosition="0">
        <references count="2">
          <reference field="0" count="1">
            <x v="17"/>
          </reference>
          <reference field="1" count="1" selected="0">
            <x v="6"/>
          </reference>
        </references>
      </pivotArea>
    </format>
    <format dxfId="166">
      <pivotArea dataOnly="0" labelOnly="1" outline="0" fieldPosition="0">
        <references count="2">
          <reference field="0" count="1">
            <x v="4"/>
          </reference>
          <reference field="1" count="1" selected="0">
            <x v="7"/>
          </reference>
        </references>
      </pivotArea>
    </format>
    <format dxfId="165">
      <pivotArea dataOnly="0" labelOnly="1" outline="0" fieldPosition="0">
        <references count="2">
          <reference field="0" count="1">
            <x v="8"/>
          </reference>
          <reference field="1" count="1" selected="0">
            <x v="8"/>
          </reference>
        </references>
      </pivotArea>
    </format>
    <format dxfId="164">
      <pivotArea dataOnly="0" labelOnly="1" outline="0" fieldPosition="0">
        <references count="2">
          <reference field="0" count="1">
            <x v="9"/>
          </reference>
          <reference field="1" count="1" selected="0">
            <x v="9"/>
          </reference>
        </references>
      </pivotArea>
    </format>
    <format dxfId="163">
      <pivotArea dataOnly="0" labelOnly="1" outline="0" fieldPosition="0">
        <references count="2">
          <reference field="0" count="1">
            <x v="1"/>
          </reference>
          <reference field="1" count="1" selected="0">
            <x v="10"/>
          </reference>
        </references>
      </pivotArea>
    </format>
    <format dxfId="162">
      <pivotArea dataOnly="0" labelOnly="1" outline="0" fieldPosition="0">
        <references count="2">
          <reference field="0" count="1">
            <x v="10"/>
          </reference>
          <reference field="1" count="1" selected="0">
            <x v="11"/>
          </reference>
        </references>
      </pivotArea>
    </format>
    <format dxfId="161">
      <pivotArea dataOnly="0" labelOnly="1" outline="0" fieldPosition="0">
        <references count="2">
          <reference field="0" count="1">
            <x v="11"/>
          </reference>
          <reference field="1" count="1" selected="0">
            <x v="12"/>
          </reference>
        </references>
      </pivotArea>
    </format>
    <format dxfId="160">
      <pivotArea dataOnly="0" labelOnly="1" outline="0" fieldPosition="0">
        <references count="2">
          <reference field="0" count="1">
            <x v="7"/>
          </reference>
          <reference field="1" count="1" selected="0">
            <x v="13"/>
          </reference>
        </references>
      </pivotArea>
    </format>
    <format dxfId="159">
      <pivotArea dataOnly="0" labelOnly="1" outline="0" fieldPosition="0">
        <references count="2">
          <reference field="0" count="1">
            <x v="12"/>
          </reference>
          <reference field="1" count="1" selected="0">
            <x v="14"/>
          </reference>
        </references>
      </pivotArea>
    </format>
    <format dxfId="158">
      <pivotArea dataOnly="0" labelOnly="1" outline="0" fieldPosition="0">
        <references count="2">
          <reference field="0" count="1">
            <x v="13"/>
          </reference>
          <reference field="1" count="1" selected="0">
            <x v="15"/>
          </reference>
        </references>
      </pivotArea>
    </format>
    <format dxfId="157">
      <pivotArea dataOnly="0" labelOnly="1" outline="0" fieldPosition="0">
        <references count="2">
          <reference field="0" count="1">
            <x v="14"/>
          </reference>
          <reference field="1" count="1" selected="0">
            <x v="16"/>
          </reference>
        </references>
      </pivotArea>
    </format>
    <format dxfId="156">
      <pivotArea dataOnly="0" labelOnly="1" outline="0" fieldPosition="0">
        <references count="2">
          <reference field="0" count="1">
            <x v="5"/>
          </reference>
          <reference field="1" count="1" selected="0">
            <x v="17"/>
          </reference>
        </references>
      </pivotArea>
    </format>
    <format dxfId="155">
      <pivotArea type="all" dataOnly="0" outline="0" fieldPosition="0"/>
    </format>
    <format dxfId="154">
      <pivotArea field="1" type="button" dataOnly="0" labelOnly="1" outline="0" axis="axisRow" fieldPosition="3"/>
    </format>
    <format dxfId="153">
      <pivotArea field="0" type="button" dataOnly="0" labelOnly="1" outline="0" axis="axisRow" fieldPosition="4"/>
    </format>
    <format dxfId="152">
      <pivotArea dataOnly="0" labelOnly="1" outline="0" fieldPosition="0">
        <references count="1">
          <reference field="1" count="0"/>
        </references>
      </pivotArea>
    </format>
    <format dxfId="151">
      <pivotArea dataOnly="0" labelOnly="1" outline="0" fieldPosition="0">
        <references count="2">
          <reference field="0" count="1">
            <x v="15"/>
          </reference>
          <reference field="1" count="1" selected="0">
            <x v="0"/>
          </reference>
        </references>
      </pivotArea>
    </format>
    <format dxfId="150">
      <pivotArea dataOnly="0" labelOnly="1" outline="0" fieldPosition="0">
        <references count="2">
          <reference field="0" count="1">
            <x v="0"/>
          </reference>
          <reference field="1" count="1" selected="0">
            <x v="1"/>
          </reference>
        </references>
      </pivotArea>
    </format>
    <format dxfId="149">
      <pivotArea dataOnly="0" labelOnly="1" outline="0" fieldPosition="0">
        <references count="2">
          <reference field="0" count="1">
            <x v="2"/>
          </reference>
          <reference field="1" count="1" selected="0">
            <x v="2"/>
          </reference>
        </references>
      </pivotArea>
    </format>
    <format dxfId="148">
      <pivotArea dataOnly="0" labelOnly="1" outline="0" fieldPosition="0">
        <references count="2">
          <reference field="0" count="1">
            <x v="6"/>
          </reference>
          <reference field="1" count="1" selected="0">
            <x v="3"/>
          </reference>
        </references>
      </pivotArea>
    </format>
    <format dxfId="147">
      <pivotArea dataOnly="0" labelOnly="1" outline="0" fieldPosition="0">
        <references count="2">
          <reference field="0" count="1">
            <x v="16"/>
          </reference>
          <reference field="1" count="1" selected="0">
            <x v="4"/>
          </reference>
        </references>
      </pivotArea>
    </format>
    <format dxfId="146">
      <pivotArea dataOnly="0" labelOnly="1" outline="0" fieldPosition="0">
        <references count="2">
          <reference field="0" count="1">
            <x v="3"/>
          </reference>
          <reference field="1" count="1" selected="0">
            <x v="5"/>
          </reference>
        </references>
      </pivotArea>
    </format>
    <format dxfId="145">
      <pivotArea dataOnly="0" labelOnly="1" outline="0" fieldPosition="0">
        <references count="2">
          <reference field="0" count="1">
            <x v="17"/>
          </reference>
          <reference field="1" count="1" selected="0">
            <x v="6"/>
          </reference>
        </references>
      </pivotArea>
    </format>
    <format dxfId="144">
      <pivotArea dataOnly="0" labelOnly="1" outline="0" fieldPosition="0">
        <references count="2">
          <reference field="0" count="1">
            <x v="4"/>
          </reference>
          <reference field="1" count="1" selected="0">
            <x v="7"/>
          </reference>
        </references>
      </pivotArea>
    </format>
    <format dxfId="143">
      <pivotArea dataOnly="0" labelOnly="1" outline="0" fieldPosition="0">
        <references count="2">
          <reference field="0" count="1">
            <x v="8"/>
          </reference>
          <reference field="1" count="1" selected="0">
            <x v="8"/>
          </reference>
        </references>
      </pivotArea>
    </format>
    <format dxfId="142">
      <pivotArea dataOnly="0" labelOnly="1" outline="0" fieldPosition="0">
        <references count="2">
          <reference field="0" count="1">
            <x v="9"/>
          </reference>
          <reference field="1" count="1" selected="0">
            <x v="9"/>
          </reference>
        </references>
      </pivotArea>
    </format>
    <format dxfId="141">
      <pivotArea dataOnly="0" labelOnly="1" outline="0" fieldPosition="0">
        <references count="2">
          <reference field="0" count="1">
            <x v="1"/>
          </reference>
          <reference field="1" count="1" selected="0">
            <x v="10"/>
          </reference>
        </references>
      </pivotArea>
    </format>
    <format dxfId="140">
      <pivotArea dataOnly="0" labelOnly="1" outline="0" fieldPosition="0">
        <references count="2">
          <reference field="0" count="1">
            <x v="10"/>
          </reference>
          <reference field="1" count="1" selected="0">
            <x v="11"/>
          </reference>
        </references>
      </pivotArea>
    </format>
    <format dxfId="139">
      <pivotArea dataOnly="0" labelOnly="1" outline="0" fieldPosition="0">
        <references count="2">
          <reference field="0" count="1">
            <x v="11"/>
          </reference>
          <reference field="1" count="1" selected="0">
            <x v="12"/>
          </reference>
        </references>
      </pivotArea>
    </format>
    <format dxfId="138">
      <pivotArea dataOnly="0" labelOnly="1" outline="0" fieldPosition="0">
        <references count="2">
          <reference field="0" count="1">
            <x v="7"/>
          </reference>
          <reference field="1" count="1" selected="0">
            <x v="13"/>
          </reference>
        </references>
      </pivotArea>
    </format>
    <format dxfId="137">
      <pivotArea dataOnly="0" labelOnly="1" outline="0" fieldPosition="0">
        <references count="2">
          <reference field="0" count="1">
            <x v="12"/>
          </reference>
          <reference field="1" count="1" selected="0">
            <x v="14"/>
          </reference>
        </references>
      </pivotArea>
    </format>
    <format dxfId="136">
      <pivotArea dataOnly="0" labelOnly="1" outline="0" fieldPosition="0">
        <references count="2">
          <reference field="0" count="1">
            <x v="13"/>
          </reference>
          <reference field="1" count="1" selected="0">
            <x v="15"/>
          </reference>
        </references>
      </pivotArea>
    </format>
    <format dxfId="135">
      <pivotArea dataOnly="0" labelOnly="1" outline="0" fieldPosition="0">
        <references count="2">
          <reference field="0" count="1">
            <x v="14"/>
          </reference>
          <reference field="1" count="1" selected="0">
            <x v="16"/>
          </reference>
        </references>
      </pivotArea>
    </format>
    <format dxfId="134">
      <pivotArea dataOnly="0" labelOnly="1" outline="0" fieldPosition="0">
        <references count="2">
          <reference field="0" count="1">
            <x v="5"/>
          </reference>
          <reference field="1" count="1" selected="0">
            <x v="17"/>
          </reference>
        </references>
      </pivotArea>
    </format>
  </formats>
  <pivotHierarchies count="28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8">
    <rowHierarchyUsage hierarchyUsage="0"/>
    <rowHierarchyUsage hierarchyUsage="5"/>
    <rowHierarchyUsage hierarchyUsage="1"/>
    <rowHierarchyUsage hierarchyUsage="13"/>
    <rowHierarchyUsage hierarchyUsage="14"/>
    <rowHierarchyUsage hierarchyUsage="7"/>
    <rowHierarchyUsage hierarchyUsage="15"/>
    <rowHierarchyUsage hierarchyUsage="17"/>
  </row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>
        <x15:activeTabTopLevelEntity name="[DB_Records]"/>
        <x15:activeTabTopLevelEntity name="[SLC_Anexos]"/>
        <x15:activeTabTopLevelEntity name="[SLC_Distribut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8DEEEF-993E-48F8-B85C-080A2888CE41}" name="Table1" displayName="Table1" ref="A1:I39" totalsRowShown="0">
  <autoFilter ref="A1:I39" xr:uid="{778DEEEF-993E-48F8-B85C-080A2888CE41}"/>
  <tableColumns count="9">
    <tableColumn id="1" xr3:uid="{B19F0788-5CBC-4513-8596-423428BAACF6}" name="CICLE"/>
    <tableColumn id="2" xr3:uid="{ED80CA96-2585-48DC-BB1A-2AA4D02D5C70}" name="API"/>
    <tableColumn id="3" xr3:uid="{9495B393-49D7-459F-8E27-7177C499D797}" name="CODE"/>
    <tableColumn id="4" xr3:uid="{3FEAC194-512C-46FE-B7D5-D49792750275}" name="ANNEX"/>
    <tableColumn id="5" xr3:uid="{83E6FDA6-4134-42D4-B044-3FB762E83872}" name="DESCRIPTION"/>
    <tableColumn id="6" xr3:uid="{AC6C4415-5CC4-4D64-9388-720D5952608B}" name="PLANT"/>
    <tableColumn id="7" xr3:uid="{17BAC58D-F552-42FD-836B-F67224C566E2}" name="RESPONSIBLE AREA"/>
    <tableColumn id="8" xr3:uid="{0FA1CB4E-0A2B-4212-AADC-D463F60C521A}" name="Correos concatenados"/>
    <tableColumn id="9" xr3:uid="{9F1E92DC-9E48-46A5-829D-2C8D9FD692C5}" name="Sum of Total Pend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mailto:Mario.Romero01@tapi.com" TargetMode="External"/><Relationship Id="rId1" Type="http://schemas.openxmlformats.org/officeDocument/2006/relationships/hyperlink" Target="mailto:Synthia.Mendez@tap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AFD8C-2EF3-4610-9531-127CBE279AE3}">
  <dimension ref="A1:I39"/>
  <sheetViews>
    <sheetView tabSelected="1" topLeftCell="A4" workbookViewId="0">
      <selection activeCell="G26" sqref="G26"/>
    </sheetView>
  </sheetViews>
  <sheetFormatPr defaultRowHeight="15" x14ac:dyDescent="0.25"/>
  <cols>
    <col min="4" max="4" width="9.42578125" customWidth="1"/>
    <col min="5" max="5" width="14.85546875" customWidth="1"/>
    <col min="7" max="7" width="20" customWidth="1"/>
    <col min="8" max="8" width="22.5703125" customWidth="1"/>
    <col min="9" max="9" width="21.85546875" customWidth="1"/>
  </cols>
  <sheetData>
    <row r="1" spans="1:9" x14ac:dyDescent="0.25">
      <c r="A1" t="s">
        <v>262</v>
      </c>
      <c r="B1" t="s">
        <v>264</v>
      </c>
      <c r="C1" t="s">
        <v>263</v>
      </c>
      <c r="D1" t="s">
        <v>265</v>
      </c>
      <c r="E1" t="s">
        <v>270</v>
      </c>
      <c r="F1" t="s">
        <v>266</v>
      </c>
      <c r="G1" t="s">
        <v>272</v>
      </c>
      <c r="H1" t="s">
        <v>273</v>
      </c>
      <c r="I1" t="s">
        <v>271</v>
      </c>
    </row>
    <row r="2" spans="1:9" x14ac:dyDescent="0.25">
      <c r="A2">
        <v>5</v>
      </c>
      <c r="B2" t="s">
        <v>53</v>
      </c>
      <c r="C2" t="s">
        <v>52</v>
      </c>
      <c r="D2">
        <v>2</v>
      </c>
      <c r="E2" t="s">
        <v>124</v>
      </c>
      <c r="F2" t="s">
        <v>54</v>
      </c>
      <c r="G2" t="s">
        <v>125</v>
      </c>
      <c r="H2" t="s">
        <v>274</v>
      </c>
      <c r="I2">
        <v>1</v>
      </c>
    </row>
    <row r="3" spans="1:9" x14ac:dyDescent="0.25">
      <c r="A3">
        <v>5</v>
      </c>
      <c r="B3" t="s">
        <v>53</v>
      </c>
      <c r="C3" t="s">
        <v>52</v>
      </c>
      <c r="D3">
        <v>11</v>
      </c>
      <c r="E3" t="s">
        <v>137</v>
      </c>
      <c r="F3" t="s">
        <v>269</v>
      </c>
      <c r="G3" t="s">
        <v>132</v>
      </c>
      <c r="H3" t="s">
        <v>274</v>
      </c>
      <c r="I3">
        <v>1</v>
      </c>
    </row>
    <row r="4" spans="1:9" x14ac:dyDescent="0.25">
      <c r="A4">
        <v>5</v>
      </c>
      <c r="B4" t="s">
        <v>41</v>
      </c>
      <c r="C4" t="s">
        <v>275</v>
      </c>
      <c r="D4">
        <v>3</v>
      </c>
      <c r="E4" t="s">
        <v>126</v>
      </c>
      <c r="F4" t="s">
        <v>17</v>
      </c>
      <c r="G4" t="s">
        <v>127</v>
      </c>
      <c r="H4" t="s">
        <v>274</v>
      </c>
      <c r="I4">
        <v>1</v>
      </c>
    </row>
    <row r="5" spans="1:9" x14ac:dyDescent="0.25">
      <c r="A5">
        <v>5</v>
      </c>
      <c r="B5" t="s">
        <v>41</v>
      </c>
      <c r="C5" t="s">
        <v>275</v>
      </c>
      <c r="D5">
        <v>6</v>
      </c>
      <c r="E5" t="s">
        <v>131</v>
      </c>
      <c r="F5" t="s">
        <v>17</v>
      </c>
      <c r="G5" t="s">
        <v>132</v>
      </c>
      <c r="H5" t="s">
        <v>274</v>
      </c>
      <c r="I5">
        <v>1</v>
      </c>
    </row>
    <row r="6" spans="1:9" x14ac:dyDescent="0.25">
      <c r="A6">
        <v>5</v>
      </c>
      <c r="B6" t="s">
        <v>41</v>
      </c>
      <c r="C6" t="s">
        <v>275</v>
      </c>
      <c r="D6">
        <v>8</v>
      </c>
      <c r="E6" t="s">
        <v>134</v>
      </c>
      <c r="F6" t="s">
        <v>17</v>
      </c>
      <c r="G6" t="s">
        <v>127</v>
      </c>
      <c r="H6" t="s">
        <v>274</v>
      </c>
      <c r="I6">
        <v>1</v>
      </c>
    </row>
    <row r="7" spans="1:9" x14ac:dyDescent="0.25">
      <c r="A7">
        <v>5</v>
      </c>
      <c r="B7" t="s">
        <v>41</v>
      </c>
      <c r="C7" t="s">
        <v>275</v>
      </c>
      <c r="D7">
        <v>11</v>
      </c>
      <c r="E7" t="s">
        <v>137</v>
      </c>
      <c r="F7" t="s">
        <v>17</v>
      </c>
      <c r="G7" t="s">
        <v>132</v>
      </c>
      <c r="H7" t="s">
        <v>274</v>
      </c>
      <c r="I7">
        <v>1</v>
      </c>
    </row>
    <row r="8" spans="1:9" x14ac:dyDescent="0.25">
      <c r="A8">
        <v>5</v>
      </c>
      <c r="B8" t="s">
        <v>56</v>
      </c>
      <c r="C8" t="s">
        <v>268</v>
      </c>
      <c r="D8">
        <v>3</v>
      </c>
      <c r="E8" t="s">
        <v>126</v>
      </c>
      <c r="F8" t="s">
        <v>57</v>
      </c>
      <c r="G8" t="s">
        <v>127</v>
      </c>
      <c r="H8" t="s">
        <v>274</v>
      </c>
      <c r="I8">
        <v>1</v>
      </c>
    </row>
    <row r="9" spans="1:9" x14ac:dyDescent="0.25">
      <c r="A9">
        <v>5</v>
      </c>
      <c r="B9" t="s">
        <v>56</v>
      </c>
      <c r="C9" t="s">
        <v>268</v>
      </c>
      <c r="D9">
        <v>11</v>
      </c>
      <c r="E9" t="s">
        <v>137</v>
      </c>
      <c r="F9" t="s">
        <v>57</v>
      </c>
      <c r="G9" t="s">
        <v>132</v>
      </c>
      <c r="H9" t="s">
        <v>274</v>
      </c>
      <c r="I9">
        <v>1</v>
      </c>
    </row>
    <row r="10" spans="1:9" x14ac:dyDescent="0.25">
      <c r="A10">
        <v>5</v>
      </c>
      <c r="B10" t="s">
        <v>56</v>
      </c>
      <c r="C10" t="s">
        <v>268</v>
      </c>
      <c r="D10">
        <v>18</v>
      </c>
      <c r="E10" t="s">
        <v>145</v>
      </c>
      <c r="F10" t="s">
        <v>57</v>
      </c>
      <c r="G10" t="s">
        <v>146</v>
      </c>
      <c r="H10" t="s">
        <v>274</v>
      </c>
      <c r="I10">
        <v>1</v>
      </c>
    </row>
    <row r="11" spans="1:9" x14ac:dyDescent="0.25">
      <c r="A11">
        <v>5</v>
      </c>
      <c r="B11" t="s">
        <v>56</v>
      </c>
      <c r="C11" t="s">
        <v>267</v>
      </c>
      <c r="D11">
        <v>11</v>
      </c>
      <c r="E11" t="s">
        <v>137</v>
      </c>
      <c r="F11" t="s">
        <v>57</v>
      </c>
      <c r="G11" t="s">
        <v>132</v>
      </c>
      <c r="H11" t="s">
        <v>274</v>
      </c>
      <c r="I11">
        <v>1</v>
      </c>
    </row>
    <row r="12" spans="1:9" x14ac:dyDescent="0.25">
      <c r="A12">
        <v>5</v>
      </c>
      <c r="B12" t="s">
        <v>56</v>
      </c>
      <c r="C12" t="s">
        <v>267</v>
      </c>
      <c r="D12">
        <v>18</v>
      </c>
      <c r="E12" t="s">
        <v>145</v>
      </c>
      <c r="F12" t="s">
        <v>57</v>
      </c>
      <c r="G12" t="s">
        <v>146</v>
      </c>
      <c r="H12" t="s">
        <v>274</v>
      </c>
      <c r="I12">
        <v>1</v>
      </c>
    </row>
    <row r="13" spans="1:9" x14ac:dyDescent="0.25">
      <c r="A13">
        <v>5</v>
      </c>
      <c r="B13" t="s">
        <v>63</v>
      </c>
      <c r="C13" t="s">
        <v>62</v>
      </c>
      <c r="D13">
        <v>2</v>
      </c>
      <c r="E13" t="s">
        <v>124</v>
      </c>
      <c r="F13" t="s">
        <v>36</v>
      </c>
      <c r="G13" t="s">
        <v>125</v>
      </c>
      <c r="H13" t="s">
        <v>274</v>
      </c>
      <c r="I13">
        <v>1</v>
      </c>
    </row>
    <row r="14" spans="1:9" x14ac:dyDescent="0.25">
      <c r="A14">
        <v>5</v>
      </c>
      <c r="B14" t="s">
        <v>63</v>
      </c>
      <c r="C14" t="s">
        <v>62</v>
      </c>
      <c r="D14">
        <v>11</v>
      </c>
      <c r="E14" t="s">
        <v>137</v>
      </c>
      <c r="F14" t="s">
        <v>276</v>
      </c>
      <c r="G14" t="s">
        <v>132</v>
      </c>
      <c r="H14" t="s">
        <v>274</v>
      </c>
      <c r="I14">
        <v>1</v>
      </c>
    </row>
    <row r="15" spans="1:9" x14ac:dyDescent="0.25">
      <c r="A15">
        <v>5</v>
      </c>
      <c r="B15" t="s">
        <v>63</v>
      </c>
      <c r="C15" t="s">
        <v>62</v>
      </c>
      <c r="D15">
        <v>18</v>
      </c>
      <c r="E15" t="s">
        <v>145</v>
      </c>
      <c r="F15" t="s">
        <v>276</v>
      </c>
      <c r="G15" t="s">
        <v>146</v>
      </c>
      <c r="H15" t="s">
        <v>274</v>
      </c>
      <c r="I15">
        <v>1</v>
      </c>
    </row>
    <row r="16" spans="1:9" x14ac:dyDescent="0.25">
      <c r="A16">
        <v>6</v>
      </c>
      <c r="B16" t="s">
        <v>69</v>
      </c>
      <c r="C16" t="s">
        <v>68</v>
      </c>
      <c r="D16">
        <v>3</v>
      </c>
      <c r="E16" t="s">
        <v>126</v>
      </c>
      <c r="F16" t="s">
        <v>259</v>
      </c>
      <c r="G16" t="s">
        <v>127</v>
      </c>
      <c r="H16" t="s">
        <v>274</v>
      </c>
      <c r="I16">
        <v>1</v>
      </c>
    </row>
    <row r="17" spans="1:9" x14ac:dyDescent="0.25">
      <c r="A17">
        <v>6</v>
      </c>
      <c r="B17" t="s">
        <v>69</v>
      </c>
      <c r="C17" t="s">
        <v>68</v>
      </c>
      <c r="D17">
        <v>6</v>
      </c>
      <c r="E17" t="s">
        <v>131</v>
      </c>
      <c r="F17" t="s">
        <v>259</v>
      </c>
      <c r="G17" t="s">
        <v>132</v>
      </c>
      <c r="H17" t="s">
        <v>274</v>
      </c>
      <c r="I17">
        <v>1</v>
      </c>
    </row>
    <row r="18" spans="1:9" x14ac:dyDescent="0.25">
      <c r="A18">
        <v>6</v>
      </c>
      <c r="B18" t="s">
        <v>69</v>
      </c>
      <c r="C18" t="s">
        <v>68</v>
      </c>
      <c r="D18">
        <v>8</v>
      </c>
      <c r="E18" t="s">
        <v>134</v>
      </c>
      <c r="F18" t="s">
        <v>259</v>
      </c>
      <c r="G18" t="s">
        <v>127</v>
      </c>
      <c r="H18" t="s">
        <v>274</v>
      </c>
      <c r="I18">
        <v>1</v>
      </c>
    </row>
    <row r="19" spans="1:9" x14ac:dyDescent="0.25">
      <c r="A19">
        <v>6</v>
      </c>
      <c r="B19" t="s">
        <v>69</v>
      </c>
      <c r="C19" t="s">
        <v>68</v>
      </c>
      <c r="D19">
        <v>11</v>
      </c>
      <c r="E19" t="s">
        <v>137</v>
      </c>
      <c r="F19" t="s">
        <v>259</v>
      </c>
      <c r="G19" t="s">
        <v>132</v>
      </c>
      <c r="H19" t="s">
        <v>274</v>
      </c>
      <c r="I19">
        <v>1</v>
      </c>
    </row>
    <row r="20" spans="1:9" x14ac:dyDescent="0.25">
      <c r="A20">
        <v>6</v>
      </c>
      <c r="B20" t="s">
        <v>69</v>
      </c>
      <c r="C20" t="s">
        <v>68</v>
      </c>
      <c r="D20">
        <v>18</v>
      </c>
      <c r="E20" t="s">
        <v>145</v>
      </c>
      <c r="F20" t="s">
        <v>259</v>
      </c>
      <c r="G20" t="s">
        <v>146</v>
      </c>
      <c r="H20" t="s">
        <v>274</v>
      </c>
      <c r="I20">
        <v>1</v>
      </c>
    </row>
    <row r="21" spans="1:9" x14ac:dyDescent="0.25">
      <c r="A21">
        <v>6</v>
      </c>
      <c r="B21" t="s">
        <v>60</v>
      </c>
      <c r="C21" t="s">
        <v>59</v>
      </c>
      <c r="D21">
        <v>2</v>
      </c>
      <c r="E21" t="s">
        <v>124</v>
      </c>
      <c r="F21" t="s">
        <v>29</v>
      </c>
      <c r="G21" t="s">
        <v>125</v>
      </c>
      <c r="H21" t="s">
        <v>274</v>
      </c>
      <c r="I21">
        <v>1</v>
      </c>
    </row>
    <row r="22" spans="1:9" x14ac:dyDescent="0.25">
      <c r="A22">
        <v>6</v>
      </c>
      <c r="B22" t="s">
        <v>60</v>
      </c>
      <c r="C22" t="s">
        <v>59</v>
      </c>
      <c r="D22">
        <v>3</v>
      </c>
      <c r="E22" t="s">
        <v>126</v>
      </c>
      <c r="F22" t="s">
        <v>226</v>
      </c>
      <c r="G22" t="s">
        <v>127</v>
      </c>
      <c r="H22" t="s">
        <v>274</v>
      </c>
      <c r="I22">
        <v>1</v>
      </c>
    </row>
    <row r="23" spans="1:9" x14ac:dyDescent="0.25">
      <c r="A23">
        <v>6</v>
      </c>
      <c r="B23" t="s">
        <v>60</v>
      </c>
      <c r="C23" t="s">
        <v>59</v>
      </c>
      <c r="D23">
        <v>6</v>
      </c>
      <c r="E23" t="s">
        <v>131</v>
      </c>
      <c r="F23" t="s">
        <v>226</v>
      </c>
      <c r="G23" t="s">
        <v>132</v>
      </c>
      <c r="H23" t="s">
        <v>274</v>
      </c>
      <c r="I23">
        <v>1</v>
      </c>
    </row>
    <row r="24" spans="1:9" x14ac:dyDescent="0.25">
      <c r="A24">
        <v>6</v>
      </c>
      <c r="B24" t="s">
        <v>60</v>
      </c>
      <c r="C24" t="s">
        <v>59</v>
      </c>
      <c r="D24">
        <v>8</v>
      </c>
      <c r="E24" t="s">
        <v>134</v>
      </c>
      <c r="F24" t="s">
        <v>226</v>
      </c>
      <c r="G24" t="s">
        <v>127</v>
      </c>
      <c r="H24" t="s">
        <v>274</v>
      </c>
      <c r="I24">
        <v>1</v>
      </c>
    </row>
    <row r="25" spans="1:9" x14ac:dyDescent="0.25">
      <c r="A25">
        <v>6</v>
      </c>
      <c r="B25" t="s">
        <v>60</v>
      </c>
      <c r="C25" t="s">
        <v>59</v>
      </c>
      <c r="D25">
        <v>11</v>
      </c>
      <c r="E25" t="s">
        <v>137</v>
      </c>
      <c r="F25" t="s">
        <v>226</v>
      </c>
      <c r="G25" t="s">
        <v>132</v>
      </c>
      <c r="H25" t="s">
        <v>274</v>
      </c>
      <c r="I25">
        <v>1</v>
      </c>
    </row>
    <row r="26" spans="1:9" x14ac:dyDescent="0.25">
      <c r="A26">
        <v>6</v>
      </c>
      <c r="B26" t="s">
        <v>60</v>
      </c>
      <c r="C26" t="s">
        <v>59</v>
      </c>
      <c r="D26">
        <v>18</v>
      </c>
      <c r="E26" t="s">
        <v>145</v>
      </c>
      <c r="F26" t="s">
        <v>226</v>
      </c>
      <c r="G26" t="s">
        <v>146</v>
      </c>
      <c r="H26" t="s">
        <v>274</v>
      </c>
      <c r="I26">
        <v>1</v>
      </c>
    </row>
    <row r="27" spans="1:9" x14ac:dyDescent="0.25">
      <c r="A27">
        <v>6</v>
      </c>
      <c r="B27" t="s">
        <v>72</v>
      </c>
      <c r="C27" t="s">
        <v>71</v>
      </c>
      <c r="D27">
        <v>2</v>
      </c>
      <c r="E27" t="s">
        <v>124</v>
      </c>
      <c r="F27" t="s">
        <v>36</v>
      </c>
      <c r="G27" t="s">
        <v>125</v>
      </c>
      <c r="H27" t="s">
        <v>274</v>
      </c>
      <c r="I27">
        <v>1</v>
      </c>
    </row>
    <row r="28" spans="1:9" x14ac:dyDescent="0.25">
      <c r="A28">
        <v>6</v>
      </c>
      <c r="B28" t="s">
        <v>72</v>
      </c>
      <c r="C28" t="s">
        <v>71</v>
      </c>
      <c r="D28">
        <v>3</v>
      </c>
      <c r="E28" t="s">
        <v>126</v>
      </c>
      <c r="F28" t="s">
        <v>260</v>
      </c>
      <c r="G28" t="s">
        <v>127</v>
      </c>
      <c r="H28" t="s">
        <v>274</v>
      </c>
      <c r="I28">
        <v>1</v>
      </c>
    </row>
    <row r="29" spans="1:9" x14ac:dyDescent="0.25">
      <c r="A29">
        <v>6</v>
      </c>
      <c r="B29" t="s">
        <v>72</v>
      </c>
      <c r="C29" t="s">
        <v>71</v>
      </c>
      <c r="D29">
        <v>4</v>
      </c>
      <c r="E29" t="s">
        <v>128</v>
      </c>
      <c r="F29" t="s">
        <v>260</v>
      </c>
      <c r="G29" t="s">
        <v>129</v>
      </c>
      <c r="H29" t="s">
        <v>274</v>
      </c>
      <c r="I29">
        <v>1</v>
      </c>
    </row>
    <row r="30" spans="1:9" x14ac:dyDescent="0.25">
      <c r="A30">
        <v>6</v>
      </c>
      <c r="B30" t="s">
        <v>72</v>
      </c>
      <c r="C30" t="s">
        <v>71</v>
      </c>
      <c r="D30">
        <v>6</v>
      </c>
      <c r="E30" t="s">
        <v>131</v>
      </c>
      <c r="F30" t="s">
        <v>260</v>
      </c>
      <c r="G30" t="s">
        <v>132</v>
      </c>
      <c r="H30" t="s">
        <v>274</v>
      </c>
      <c r="I30">
        <v>1</v>
      </c>
    </row>
    <row r="31" spans="1:9" x14ac:dyDescent="0.25">
      <c r="A31">
        <v>6</v>
      </c>
      <c r="B31" t="s">
        <v>72</v>
      </c>
      <c r="C31" t="s">
        <v>71</v>
      </c>
      <c r="D31">
        <v>8</v>
      </c>
      <c r="E31" t="s">
        <v>134</v>
      </c>
      <c r="F31" t="s">
        <v>260</v>
      </c>
      <c r="G31" t="s">
        <v>127</v>
      </c>
      <c r="H31" t="s">
        <v>274</v>
      </c>
      <c r="I31">
        <v>1</v>
      </c>
    </row>
    <row r="32" spans="1:9" x14ac:dyDescent="0.25">
      <c r="A32">
        <v>6</v>
      </c>
      <c r="B32" t="s">
        <v>72</v>
      </c>
      <c r="C32" t="s">
        <v>71</v>
      </c>
      <c r="D32">
        <v>11</v>
      </c>
      <c r="E32" t="s">
        <v>137</v>
      </c>
      <c r="F32" t="s">
        <v>260</v>
      </c>
      <c r="G32" t="s">
        <v>132</v>
      </c>
      <c r="H32" t="s">
        <v>274</v>
      </c>
      <c r="I32">
        <v>1</v>
      </c>
    </row>
    <row r="33" spans="1:9" x14ac:dyDescent="0.25">
      <c r="A33">
        <v>6</v>
      </c>
      <c r="B33" t="s">
        <v>72</v>
      </c>
      <c r="C33" t="s">
        <v>71</v>
      </c>
      <c r="D33">
        <v>18</v>
      </c>
      <c r="E33" t="s">
        <v>145</v>
      </c>
      <c r="F33" t="s">
        <v>260</v>
      </c>
      <c r="G33" t="s">
        <v>146</v>
      </c>
      <c r="H33" t="s">
        <v>274</v>
      </c>
      <c r="I33">
        <v>1</v>
      </c>
    </row>
    <row r="34" spans="1:9" x14ac:dyDescent="0.25">
      <c r="A34">
        <v>6</v>
      </c>
      <c r="B34" t="s">
        <v>66</v>
      </c>
      <c r="C34" t="s">
        <v>277</v>
      </c>
      <c r="D34">
        <v>3</v>
      </c>
      <c r="E34" t="s">
        <v>126</v>
      </c>
      <c r="F34" t="s">
        <v>259</v>
      </c>
      <c r="G34" t="s">
        <v>127</v>
      </c>
      <c r="H34" t="s">
        <v>274</v>
      </c>
      <c r="I34">
        <v>1</v>
      </c>
    </row>
    <row r="35" spans="1:9" x14ac:dyDescent="0.25">
      <c r="A35">
        <v>6</v>
      </c>
      <c r="B35" t="s">
        <v>66</v>
      </c>
      <c r="C35" t="s">
        <v>277</v>
      </c>
      <c r="D35">
        <v>6</v>
      </c>
      <c r="E35" t="s">
        <v>131</v>
      </c>
      <c r="F35" t="s">
        <v>259</v>
      </c>
      <c r="G35" t="s">
        <v>132</v>
      </c>
      <c r="H35" t="s">
        <v>274</v>
      </c>
      <c r="I35">
        <v>1</v>
      </c>
    </row>
    <row r="36" spans="1:9" x14ac:dyDescent="0.25">
      <c r="A36">
        <v>6</v>
      </c>
      <c r="B36" t="s">
        <v>66</v>
      </c>
      <c r="C36" t="s">
        <v>277</v>
      </c>
      <c r="D36">
        <v>8</v>
      </c>
      <c r="E36" t="s">
        <v>134</v>
      </c>
      <c r="F36" t="s">
        <v>259</v>
      </c>
      <c r="G36" t="s">
        <v>127</v>
      </c>
      <c r="H36" t="s">
        <v>274</v>
      </c>
      <c r="I36">
        <v>1</v>
      </c>
    </row>
    <row r="37" spans="1:9" x14ac:dyDescent="0.25">
      <c r="A37">
        <v>6</v>
      </c>
      <c r="B37" t="s">
        <v>66</v>
      </c>
      <c r="C37" t="s">
        <v>277</v>
      </c>
      <c r="D37">
        <v>11</v>
      </c>
      <c r="E37" t="s">
        <v>137</v>
      </c>
      <c r="F37" t="s">
        <v>259</v>
      </c>
      <c r="G37" t="s">
        <v>132</v>
      </c>
      <c r="H37" t="s">
        <v>274</v>
      </c>
      <c r="I37">
        <v>1</v>
      </c>
    </row>
    <row r="38" spans="1:9" x14ac:dyDescent="0.25">
      <c r="A38">
        <v>6</v>
      </c>
      <c r="B38" t="s">
        <v>66</v>
      </c>
      <c r="C38" t="s">
        <v>277</v>
      </c>
      <c r="D38">
        <v>14</v>
      </c>
      <c r="E38" t="s">
        <v>141</v>
      </c>
      <c r="F38" t="s">
        <v>259</v>
      </c>
      <c r="G38" t="s">
        <v>129</v>
      </c>
      <c r="H38" t="s">
        <v>274</v>
      </c>
      <c r="I38">
        <v>1</v>
      </c>
    </row>
    <row r="39" spans="1:9" x14ac:dyDescent="0.25">
      <c r="A39">
        <v>6</v>
      </c>
      <c r="B39" t="s">
        <v>66</v>
      </c>
      <c r="C39" t="s">
        <v>277</v>
      </c>
      <c r="D39">
        <v>18</v>
      </c>
      <c r="E39" t="s">
        <v>145</v>
      </c>
      <c r="F39" t="s">
        <v>259</v>
      </c>
      <c r="G39" t="s">
        <v>146</v>
      </c>
      <c r="H39" t="s">
        <v>274</v>
      </c>
      <c r="I39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AE2DF-9D8D-4DBF-87F4-043BF329D268}">
  <dimension ref="A1:N457"/>
  <sheetViews>
    <sheetView zoomScale="85" zoomScaleNormal="85" workbookViewId="0"/>
  </sheetViews>
  <sheetFormatPr defaultRowHeight="15" x14ac:dyDescent="0.25"/>
  <cols>
    <col min="1" max="1" width="13.28515625" bestFit="1" customWidth="1"/>
    <col min="2" max="2" width="8.5703125" bestFit="1" customWidth="1"/>
    <col min="3" max="3" width="30.7109375" bestFit="1" customWidth="1"/>
    <col min="4" max="4" width="11.85546875" bestFit="1" customWidth="1"/>
    <col min="5" max="5" width="24.5703125" bestFit="1" customWidth="1"/>
    <col min="6" max="6" width="17.5703125" bestFit="1" customWidth="1"/>
    <col min="7" max="7" width="22.7109375" bestFit="1" customWidth="1"/>
    <col min="8" max="8" width="30.5703125" bestFit="1" customWidth="1"/>
    <col min="9" max="9" width="20" bestFit="1" customWidth="1"/>
    <col min="10" max="10" width="22.42578125" bestFit="1" customWidth="1"/>
    <col min="11" max="11" width="24.5703125" bestFit="1" customWidth="1"/>
    <col min="12" max="12" width="30.7109375" bestFit="1" customWidth="1"/>
    <col min="13" max="13" width="20" bestFit="1" customWidth="1"/>
    <col min="14" max="14" width="18.140625" bestFit="1" customWidth="1"/>
    <col min="15" max="15" width="42" customWidth="1"/>
    <col min="16" max="16" width="6.28515625" bestFit="1" customWidth="1"/>
    <col min="17" max="17" width="9.5703125" bestFit="1" customWidth="1"/>
    <col min="18" max="18" width="17.42578125" bestFit="1" customWidth="1"/>
    <col min="19" max="19" width="11.42578125" bestFit="1" customWidth="1"/>
    <col min="20" max="20" width="10.7109375" bestFit="1" customWidth="1"/>
    <col min="21" max="21" width="17.85546875" bestFit="1" customWidth="1"/>
    <col min="22" max="22" width="20.140625" bestFit="1" customWidth="1"/>
    <col min="23" max="23" width="81.140625" bestFit="1" customWidth="1"/>
    <col min="24" max="24" width="32" bestFit="1" customWidth="1"/>
  </cols>
  <sheetData>
    <row r="1" spans="1:9" x14ac:dyDescent="0.25">
      <c r="A1" s="233" t="s">
        <v>262</v>
      </c>
      <c r="B1" s="233" t="s">
        <v>264</v>
      </c>
      <c r="C1" s="233" t="s">
        <v>263</v>
      </c>
      <c r="D1" s="233" t="s">
        <v>265</v>
      </c>
      <c r="E1" s="233" t="s">
        <v>270</v>
      </c>
      <c r="F1" s="233" t="s">
        <v>266</v>
      </c>
      <c r="G1" s="233" t="s">
        <v>272</v>
      </c>
      <c r="H1" s="233" t="s">
        <v>273</v>
      </c>
      <c r="I1" s="231" t="s">
        <v>271</v>
      </c>
    </row>
    <row r="2" spans="1:9" ht="75" x14ac:dyDescent="0.25">
      <c r="A2" s="231">
        <v>5</v>
      </c>
      <c r="B2" s="231" t="s">
        <v>53</v>
      </c>
      <c r="C2" s="231" t="s">
        <v>52</v>
      </c>
      <c r="D2" s="231">
        <v>2</v>
      </c>
      <c r="E2" s="232" t="s">
        <v>124</v>
      </c>
      <c r="F2" s="231" t="s">
        <v>54</v>
      </c>
      <c r="G2" s="231" t="s">
        <v>125</v>
      </c>
      <c r="H2" s="231" t="s">
        <v>274</v>
      </c>
      <c r="I2" s="453">
        <v>1</v>
      </c>
    </row>
    <row r="3" spans="1:9" ht="45" x14ac:dyDescent="0.25">
      <c r="A3" s="231">
        <v>5</v>
      </c>
      <c r="B3" s="231" t="s">
        <v>53</v>
      </c>
      <c r="C3" s="231" t="s">
        <v>52</v>
      </c>
      <c r="D3" s="231">
        <v>11</v>
      </c>
      <c r="E3" s="232" t="s">
        <v>137</v>
      </c>
      <c r="F3" s="231" t="s">
        <v>269</v>
      </c>
      <c r="G3" s="231" t="s">
        <v>132</v>
      </c>
      <c r="H3" s="231" t="s">
        <v>274</v>
      </c>
      <c r="I3" s="453">
        <v>1</v>
      </c>
    </row>
    <row r="4" spans="1:9" ht="30" x14ac:dyDescent="0.25">
      <c r="A4" s="231">
        <v>5</v>
      </c>
      <c r="B4" s="231" t="s">
        <v>41</v>
      </c>
      <c r="C4" s="231" t="s">
        <v>275</v>
      </c>
      <c r="D4" s="231">
        <v>3</v>
      </c>
      <c r="E4" s="232" t="s">
        <v>126</v>
      </c>
      <c r="F4" s="231" t="s">
        <v>17</v>
      </c>
      <c r="G4" s="231" t="s">
        <v>127</v>
      </c>
      <c r="H4" s="231" t="s">
        <v>274</v>
      </c>
      <c r="I4" s="453">
        <v>1</v>
      </c>
    </row>
    <row r="5" spans="1:9" x14ac:dyDescent="0.25">
      <c r="A5" s="231">
        <v>5</v>
      </c>
      <c r="B5" s="231" t="s">
        <v>41</v>
      </c>
      <c r="C5" s="231" t="s">
        <v>275</v>
      </c>
      <c r="D5" s="231">
        <v>6</v>
      </c>
      <c r="E5" s="232" t="s">
        <v>131</v>
      </c>
      <c r="F5" s="231" t="s">
        <v>17</v>
      </c>
      <c r="G5" s="231" t="s">
        <v>132</v>
      </c>
      <c r="H5" s="231" t="s">
        <v>274</v>
      </c>
      <c r="I5" s="453">
        <v>1</v>
      </c>
    </row>
    <row r="6" spans="1:9" x14ac:dyDescent="0.25">
      <c r="A6" s="231">
        <v>5</v>
      </c>
      <c r="B6" s="231" t="s">
        <v>41</v>
      </c>
      <c r="C6" s="231" t="s">
        <v>275</v>
      </c>
      <c r="D6" s="231">
        <v>8</v>
      </c>
      <c r="E6" s="232" t="s">
        <v>134</v>
      </c>
      <c r="F6" s="231" t="s">
        <v>17</v>
      </c>
      <c r="G6" s="231" t="s">
        <v>127</v>
      </c>
      <c r="H6" s="231" t="s">
        <v>274</v>
      </c>
      <c r="I6" s="453">
        <v>1</v>
      </c>
    </row>
    <row r="7" spans="1:9" ht="45" x14ac:dyDescent="0.25">
      <c r="A7" s="231">
        <v>5</v>
      </c>
      <c r="B7" s="231" t="s">
        <v>41</v>
      </c>
      <c r="C7" s="231" t="s">
        <v>275</v>
      </c>
      <c r="D7" s="231">
        <v>11</v>
      </c>
      <c r="E7" s="232" t="s">
        <v>137</v>
      </c>
      <c r="F7" s="231" t="s">
        <v>17</v>
      </c>
      <c r="G7" s="231" t="s">
        <v>132</v>
      </c>
      <c r="H7" s="231" t="s">
        <v>274</v>
      </c>
      <c r="I7" s="453">
        <v>1</v>
      </c>
    </row>
    <row r="8" spans="1:9" ht="30" x14ac:dyDescent="0.25">
      <c r="A8" s="231">
        <v>5</v>
      </c>
      <c r="B8" s="231" t="s">
        <v>56</v>
      </c>
      <c r="C8" s="231" t="s">
        <v>268</v>
      </c>
      <c r="D8" s="231">
        <v>3</v>
      </c>
      <c r="E8" s="232" t="s">
        <v>126</v>
      </c>
      <c r="F8" s="231" t="s">
        <v>57</v>
      </c>
      <c r="G8" s="231" t="s">
        <v>127</v>
      </c>
      <c r="H8" s="231" t="s">
        <v>274</v>
      </c>
      <c r="I8" s="453">
        <v>1</v>
      </c>
    </row>
    <row r="9" spans="1:9" ht="45" x14ac:dyDescent="0.25">
      <c r="A9" s="231">
        <v>5</v>
      </c>
      <c r="B9" s="231" t="s">
        <v>56</v>
      </c>
      <c r="C9" s="231" t="s">
        <v>268</v>
      </c>
      <c r="D9" s="231">
        <v>11</v>
      </c>
      <c r="E9" s="232" t="s">
        <v>137</v>
      </c>
      <c r="F9" s="231" t="s">
        <v>57</v>
      </c>
      <c r="G9" s="231" t="s">
        <v>132</v>
      </c>
      <c r="H9" s="231" t="s">
        <v>274</v>
      </c>
      <c r="I9" s="453">
        <v>1</v>
      </c>
    </row>
    <row r="10" spans="1:9" ht="60" x14ac:dyDescent="0.25">
      <c r="A10" s="231">
        <v>5</v>
      </c>
      <c r="B10" s="231" t="s">
        <v>56</v>
      </c>
      <c r="C10" s="231" t="s">
        <v>268</v>
      </c>
      <c r="D10" s="231">
        <v>18</v>
      </c>
      <c r="E10" s="232" t="s">
        <v>145</v>
      </c>
      <c r="F10" s="231" t="s">
        <v>57</v>
      </c>
      <c r="G10" s="231" t="s">
        <v>146</v>
      </c>
      <c r="H10" s="231" t="s">
        <v>274</v>
      </c>
      <c r="I10" s="453">
        <v>1</v>
      </c>
    </row>
    <row r="11" spans="1:9" ht="45" x14ac:dyDescent="0.25">
      <c r="A11" s="231">
        <v>5</v>
      </c>
      <c r="B11" s="231" t="s">
        <v>56</v>
      </c>
      <c r="C11" s="231" t="s">
        <v>267</v>
      </c>
      <c r="D11" s="231">
        <v>11</v>
      </c>
      <c r="E11" s="232" t="s">
        <v>137</v>
      </c>
      <c r="F11" s="231" t="s">
        <v>57</v>
      </c>
      <c r="G11" s="231" t="s">
        <v>132</v>
      </c>
      <c r="H11" s="231" t="s">
        <v>274</v>
      </c>
      <c r="I11" s="453">
        <v>1</v>
      </c>
    </row>
    <row r="12" spans="1:9" ht="60" x14ac:dyDescent="0.25">
      <c r="A12" s="231">
        <v>5</v>
      </c>
      <c r="B12" s="231" t="s">
        <v>56</v>
      </c>
      <c r="C12" s="231" t="s">
        <v>267</v>
      </c>
      <c r="D12" s="231">
        <v>18</v>
      </c>
      <c r="E12" s="232" t="s">
        <v>145</v>
      </c>
      <c r="F12" s="231" t="s">
        <v>57</v>
      </c>
      <c r="G12" s="231" t="s">
        <v>146</v>
      </c>
      <c r="H12" s="231" t="s">
        <v>274</v>
      </c>
      <c r="I12" s="453">
        <v>1</v>
      </c>
    </row>
    <row r="13" spans="1:9" ht="75" x14ac:dyDescent="0.25">
      <c r="A13" s="231">
        <v>5</v>
      </c>
      <c r="B13" s="231" t="s">
        <v>63</v>
      </c>
      <c r="C13" s="231" t="s">
        <v>62</v>
      </c>
      <c r="D13" s="231">
        <v>2</v>
      </c>
      <c r="E13" s="232" t="s">
        <v>124</v>
      </c>
      <c r="F13" s="231" t="s">
        <v>36</v>
      </c>
      <c r="G13" s="231" t="s">
        <v>125</v>
      </c>
      <c r="H13" s="231" t="s">
        <v>274</v>
      </c>
      <c r="I13" s="453">
        <v>1</v>
      </c>
    </row>
    <row r="14" spans="1:9" ht="45" x14ac:dyDescent="0.25">
      <c r="A14" s="231">
        <v>5</v>
      </c>
      <c r="B14" s="231" t="s">
        <v>63</v>
      </c>
      <c r="C14" s="231" t="s">
        <v>62</v>
      </c>
      <c r="D14" s="231">
        <v>11</v>
      </c>
      <c r="E14" s="232" t="s">
        <v>137</v>
      </c>
      <c r="F14" s="231" t="s">
        <v>276</v>
      </c>
      <c r="G14" s="231" t="s">
        <v>132</v>
      </c>
      <c r="H14" s="231" t="s">
        <v>274</v>
      </c>
      <c r="I14" s="453">
        <v>1</v>
      </c>
    </row>
    <row r="15" spans="1:9" ht="60" x14ac:dyDescent="0.25">
      <c r="A15" s="231">
        <v>5</v>
      </c>
      <c r="B15" s="231" t="s">
        <v>63</v>
      </c>
      <c r="C15" s="231" t="s">
        <v>62</v>
      </c>
      <c r="D15" s="231">
        <v>18</v>
      </c>
      <c r="E15" s="232" t="s">
        <v>145</v>
      </c>
      <c r="F15" s="231" t="s">
        <v>276</v>
      </c>
      <c r="G15" s="231" t="s">
        <v>146</v>
      </c>
      <c r="H15" s="231" t="s">
        <v>274</v>
      </c>
      <c r="I15" s="453">
        <v>1</v>
      </c>
    </row>
    <row r="352" spans="13:14" x14ac:dyDescent="0.25">
      <c r="M352" s="230"/>
      <c r="N352" s="230"/>
    </row>
    <row r="353" spans="13:14" x14ac:dyDescent="0.25">
      <c r="M353" s="230"/>
      <c r="N353" s="230"/>
    </row>
    <row r="354" spans="13:14" x14ac:dyDescent="0.25">
      <c r="M354" s="230"/>
      <c r="N354" s="230"/>
    </row>
    <row r="355" spans="13:14" x14ac:dyDescent="0.25">
      <c r="M355" s="230"/>
      <c r="N355" s="230"/>
    </row>
    <row r="356" spans="13:14" x14ac:dyDescent="0.25">
      <c r="M356" s="230"/>
      <c r="N356" s="230"/>
    </row>
    <row r="357" spans="13:14" x14ac:dyDescent="0.25">
      <c r="M357" s="230"/>
      <c r="N357" s="230"/>
    </row>
    <row r="358" spans="13:14" x14ac:dyDescent="0.25">
      <c r="M358" s="230"/>
      <c r="N358" s="230"/>
    </row>
    <row r="359" spans="13:14" x14ac:dyDescent="0.25">
      <c r="M359" s="230"/>
      <c r="N359" s="230"/>
    </row>
    <row r="360" spans="13:14" x14ac:dyDescent="0.25">
      <c r="M360" s="230"/>
      <c r="N360" s="230"/>
    </row>
    <row r="361" spans="13:14" x14ac:dyDescent="0.25">
      <c r="M361" s="230"/>
      <c r="N361" s="230"/>
    </row>
    <row r="362" spans="13:14" x14ac:dyDescent="0.25">
      <c r="M362" s="230"/>
      <c r="N362" s="230"/>
    </row>
    <row r="363" spans="13:14" x14ac:dyDescent="0.25">
      <c r="M363" s="230"/>
      <c r="N363" s="230"/>
    </row>
    <row r="364" spans="13:14" x14ac:dyDescent="0.25">
      <c r="M364" s="230"/>
      <c r="N364" s="230"/>
    </row>
    <row r="365" spans="13:14" x14ac:dyDescent="0.25">
      <c r="M365" s="230"/>
      <c r="N365" s="230"/>
    </row>
    <row r="366" spans="13:14" x14ac:dyDescent="0.25">
      <c r="M366" s="230"/>
      <c r="N366" s="230"/>
    </row>
    <row r="367" spans="13:14" x14ac:dyDescent="0.25">
      <c r="M367" s="230"/>
      <c r="N367" s="230"/>
    </row>
    <row r="368" spans="13:14" x14ac:dyDescent="0.25">
      <c r="M368" s="230"/>
      <c r="N368" s="230"/>
    </row>
    <row r="369" spans="13:14" x14ac:dyDescent="0.25">
      <c r="M369" s="230"/>
      <c r="N369" s="230"/>
    </row>
    <row r="370" spans="13:14" x14ac:dyDescent="0.25">
      <c r="M370" s="230"/>
      <c r="N370" s="230"/>
    </row>
    <row r="371" spans="13:14" x14ac:dyDescent="0.25">
      <c r="M371" s="230"/>
      <c r="N371" s="230"/>
    </row>
    <row r="372" spans="13:14" x14ac:dyDescent="0.25">
      <c r="M372" s="230"/>
      <c r="N372" s="230"/>
    </row>
    <row r="373" spans="13:14" x14ac:dyDescent="0.25">
      <c r="M373" s="230"/>
      <c r="N373" s="230"/>
    </row>
    <row r="374" spans="13:14" x14ac:dyDescent="0.25">
      <c r="M374" s="230"/>
      <c r="N374" s="230"/>
    </row>
    <row r="375" spans="13:14" x14ac:dyDescent="0.25">
      <c r="M375" s="230"/>
      <c r="N375" s="230"/>
    </row>
    <row r="376" spans="13:14" x14ac:dyDescent="0.25">
      <c r="M376" s="230"/>
      <c r="N376" s="230"/>
    </row>
    <row r="377" spans="13:14" x14ac:dyDescent="0.25">
      <c r="M377" s="230"/>
      <c r="N377" s="230"/>
    </row>
    <row r="378" spans="13:14" x14ac:dyDescent="0.25">
      <c r="M378" s="230"/>
      <c r="N378" s="230"/>
    </row>
    <row r="379" spans="13:14" x14ac:dyDescent="0.25">
      <c r="M379" s="230"/>
      <c r="N379" s="230"/>
    </row>
    <row r="380" spans="13:14" x14ac:dyDescent="0.25">
      <c r="M380" s="230"/>
      <c r="N380" s="230"/>
    </row>
    <row r="381" spans="13:14" x14ac:dyDescent="0.25">
      <c r="M381" s="230"/>
      <c r="N381" s="230"/>
    </row>
    <row r="382" spans="13:14" x14ac:dyDescent="0.25">
      <c r="M382" s="230"/>
      <c r="N382" s="230"/>
    </row>
    <row r="383" spans="13:14" x14ac:dyDescent="0.25">
      <c r="M383" s="230"/>
      <c r="N383" s="230"/>
    </row>
    <row r="384" spans="13:14" x14ac:dyDescent="0.25">
      <c r="M384" s="230"/>
      <c r="N384" s="230"/>
    </row>
    <row r="385" spans="13:14" x14ac:dyDescent="0.25">
      <c r="M385" s="230"/>
      <c r="N385" s="230"/>
    </row>
    <row r="386" spans="13:14" x14ac:dyDescent="0.25">
      <c r="M386" s="230"/>
      <c r="N386" s="230"/>
    </row>
    <row r="387" spans="13:14" x14ac:dyDescent="0.25">
      <c r="M387" s="230"/>
      <c r="N387" s="230"/>
    </row>
    <row r="388" spans="13:14" x14ac:dyDescent="0.25">
      <c r="M388" s="230"/>
      <c r="N388" s="230"/>
    </row>
    <row r="389" spans="13:14" x14ac:dyDescent="0.25">
      <c r="M389" s="230"/>
      <c r="N389" s="230"/>
    </row>
    <row r="390" spans="13:14" x14ac:dyDescent="0.25">
      <c r="M390" s="230"/>
      <c r="N390" s="230"/>
    </row>
    <row r="391" spans="13:14" x14ac:dyDescent="0.25">
      <c r="M391" s="230"/>
      <c r="N391" s="230"/>
    </row>
    <row r="392" spans="13:14" x14ac:dyDescent="0.25">
      <c r="M392" s="230"/>
      <c r="N392" s="230"/>
    </row>
    <row r="393" spans="13:14" x14ac:dyDescent="0.25">
      <c r="M393" s="230"/>
      <c r="N393" s="230"/>
    </row>
    <row r="394" spans="13:14" x14ac:dyDescent="0.25">
      <c r="M394" s="230"/>
      <c r="N394" s="230"/>
    </row>
    <row r="395" spans="13:14" x14ac:dyDescent="0.25">
      <c r="M395" s="230"/>
      <c r="N395" s="230"/>
    </row>
    <row r="396" spans="13:14" x14ac:dyDescent="0.25">
      <c r="M396" s="230"/>
      <c r="N396" s="230"/>
    </row>
    <row r="397" spans="13:14" x14ac:dyDescent="0.25">
      <c r="M397" s="230"/>
      <c r="N397" s="230"/>
    </row>
    <row r="398" spans="13:14" x14ac:dyDescent="0.25">
      <c r="M398" s="230"/>
      <c r="N398" s="230"/>
    </row>
    <row r="399" spans="13:14" x14ac:dyDescent="0.25">
      <c r="M399" s="230"/>
      <c r="N399" s="230"/>
    </row>
    <row r="400" spans="13:14" x14ac:dyDescent="0.25">
      <c r="M400" s="230"/>
      <c r="N400" s="230"/>
    </row>
    <row r="401" spans="13:14" x14ac:dyDescent="0.25">
      <c r="M401" s="230"/>
      <c r="N401" s="230"/>
    </row>
    <row r="402" spans="13:14" x14ac:dyDescent="0.25">
      <c r="M402" s="230"/>
      <c r="N402" s="230"/>
    </row>
    <row r="403" spans="13:14" x14ac:dyDescent="0.25">
      <c r="M403" s="230"/>
      <c r="N403" s="230"/>
    </row>
    <row r="404" spans="13:14" x14ac:dyDescent="0.25">
      <c r="M404" s="230"/>
      <c r="N404" s="230"/>
    </row>
    <row r="405" spans="13:14" x14ac:dyDescent="0.25">
      <c r="M405" s="230"/>
      <c r="N405" s="230"/>
    </row>
    <row r="406" spans="13:14" x14ac:dyDescent="0.25">
      <c r="M406" s="230"/>
      <c r="N406" s="230"/>
    </row>
    <row r="407" spans="13:14" x14ac:dyDescent="0.25">
      <c r="M407" s="230"/>
      <c r="N407" s="230"/>
    </row>
    <row r="408" spans="13:14" x14ac:dyDescent="0.25">
      <c r="M408" s="230"/>
      <c r="N408" s="230"/>
    </row>
    <row r="409" spans="13:14" x14ac:dyDescent="0.25">
      <c r="M409" s="230"/>
      <c r="N409" s="230"/>
    </row>
    <row r="410" spans="13:14" x14ac:dyDescent="0.25">
      <c r="M410" s="230"/>
      <c r="N410" s="230"/>
    </row>
    <row r="411" spans="13:14" x14ac:dyDescent="0.25">
      <c r="M411" s="230"/>
      <c r="N411" s="230"/>
    </row>
    <row r="412" spans="13:14" x14ac:dyDescent="0.25">
      <c r="M412" s="230"/>
      <c r="N412" s="230"/>
    </row>
    <row r="413" spans="13:14" x14ac:dyDescent="0.25">
      <c r="M413" s="230"/>
      <c r="N413" s="230"/>
    </row>
    <row r="414" spans="13:14" x14ac:dyDescent="0.25">
      <c r="M414" s="230"/>
      <c r="N414" s="230"/>
    </row>
    <row r="415" spans="13:14" x14ac:dyDescent="0.25">
      <c r="M415" s="230"/>
      <c r="N415" s="230"/>
    </row>
    <row r="416" spans="13:14" x14ac:dyDescent="0.25">
      <c r="M416" s="230"/>
      <c r="N416" s="230"/>
    </row>
    <row r="417" spans="13:14" x14ac:dyDescent="0.25">
      <c r="M417" s="230"/>
      <c r="N417" s="230"/>
    </row>
    <row r="418" spans="13:14" x14ac:dyDescent="0.25">
      <c r="M418" s="230"/>
      <c r="N418" s="230"/>
    </row>
    <row r="419" spans="13:14" x14ac:dyDescent="0.25">
      <c r="M419" s="230"/>
      <c r="N419" s="230"/>
    </row>
    <row r="420" spans="13:14" x14ac:dyDescent="0.25">
      <c r="M420" s="230"/>
      <c r="N420" s="230"/>
    </row>
    <row r="421" spans="13:14" x14ac:dyDescent="0.25">
      <c r="M421" s="230"/>
      <c r="N421" s="230"/>
    </row>
    <row r="422" spans="13:14" x14ac:dyDescent="0.25">
      <c r="M422" s="230"/>
      <c r="N422" s="230"/>
    </row>
    <row r="423" spans="13:14" x14ac:dyDescent="0.25">
      <c r="M423" s="230"/>
      <c r="N423" s="230"/>
    </row>
    <row r="424" spans="13:14" x14ac:dyDescent="0.25">
      <c r="M424" s="230"/>
      <c r="N424" s="230"/>
    </row>
    <row r="425" spans="13:14" x14ac:dyDescent="0.25">
      <c r="M425" s="230"/>
      <c r="N425" s="230"/>
    </row>
    <row r="426" spans="13:14" x14ac:dyDescent="0.25">
      <c r="M426" s="230"/>
      <c r="N426" s="230"/>
    </row>
    <row r="427" spans="13:14" x14ac:dyDescent="0.25">
      <c r="M427" s="230"/>
      <c r="N427" s="230"/>
    </row>
    <row r="428" spans="13:14" x14ac:dyDescent="0.25">
      <c r="M428" s="230"/>
      <c r="N428" s="230"/>
    </row>
    <row r="429" spans="13:14" x14ac:dyDescent="0.25">
      <c r="M429" s="230"/>
      <c r="N429" s="230"/>
    </row>
    <row r="430" spans="13:14" x14ac:dyDescent="0.25">
      <c r="M430" s="230"/>
      <c r="N430" s="230"/>
    </row>
    <row r="431" spans="13:14" x14ac:dyDescent="0.25">
      <c r="M431" s="230"/>
      <c r="N431" s="230"/>
    </row>
    <row r="432" spans="13:14" x14ac:dyDescent="0.25">
      <c r="M432" s="230"/>
      <c r="N432" s="230"/>
    </row>
    <row r="433" spans="13:14" x14ac:dyDescent="0.25">
      <c r="M433" s="230"/>
      <c r="N433" s="230"/>
    </row>
    <row r="434" spans="13:14" x14ac:dyDescent="0.25">
      <c r="M434" s="230"/>
      <c r="N434" s="230"/>
    </row>
    <row r="435" spans="13:14" x14ac:dyDescent="0.25">
      <c r="M435" s="230"/>
      <c r="N435" s="230"/>
    </row>
    <row r="436" spans="13:14" x14ac:dyDescent="0.25">
      <c r="M436" s="230"/>
      <c r="N436" s="230"/>
    </row>
    <row r="437" spans="13:14" x14ac:dyDescent="0.25">
      <c r="M437" s="230"/>
      <c r="N437" s="230"/>
    </row>
    <row r="438" spans="13:14" x14ac:dyDescent="0.25">
      <c r="M438" s="230"/>
      <c r="N438" s="230"/>
    </row>
    <row r="439" spans="13:14" x14ac:dyDescent="0.25">
      <c r="M439" s="230"/>
      <c r="N439" s="230"/>
    </row>
    <row r="440" spans="13:14" x14ac:dyDescent="0.25">
      <c r="M440" s="230"/>
      <c r="N440" s="230"/>
    </row>
    <row r="441" spans="13:14" x14ac:dyDescent="0.25">
      <c r="M441" s="230"/>
      <c r="N441" s="230"/>
    </row>
    <row r="442" spans="13:14" x14ac:dyDescent="0.25">
      <c r="M442" s="230"/>
      <c r="N442" s="230"/>
    </row>
    <row r="443" spans="13:14" x14ac:dyDescent="0.25">
      <c r="M443" s="230"/>
      <c r="N443" s="230"/>
    </row>
    <row r="444" spans="13:14" x14ac:dyDescent="0.25">
      <c r="M444" s="230"/>
      <c r="N444" s="230"/>
    </row>
    <row r="445" spans="13:14" x14ac:dyDescent="0.25">
      <c r="M445" s="230"/>
      <c r="N445" s="230"/>
    </row>
    <row r="446" spans="13:14" x14ac:dyDescent="0.25">
      <c r="M446" s="230"/>
      <c r="N446" s="230"/>
    </row>
    <row r="447" spans="13:14" x14ac:dyDescent="0.25">
      <c r="M447" s="230"/>
      <c r="N447" s="230"/>
    </row>
    <row r="448" spans="13:14" x14ac:dyDescent="0.25">
      <c r="M448" s="230"/>
      <c r="N448" s="230"/>
    </row>
    <row r="449" spans="13:14" x14ac:dyDescent="0.25">
      <c r="M449" s="230"/>
      <c r="N449" s="230"/>
    </row>
    <row r="450" spans="13:14" x14ac:dyDescent="0.25">
      <c r="M450" s="230"/>
      <c r="N450" s="230"/>
    </row>
    <row r="451" spans="13:14" x14ac:dyDescent="0.25">
      <c r="M451" s="230"/>
      <c r="N451" s="230"/>
    </row>
    <row r="452" spans="13:14" x14ac:dyDescent="0.25">
      <c r="M452" s="230"/>
      <c r="N452" s="230"/>
    </row>
    <row r="453" spans="13:14" x14ac:dyDescent="0.25">
      <c r="M453" s="230"/>
      <c r="N453" s="230"/>
    </row>
    <row r="454" spans="13:14" x14ac:dyDescent="0.25">
      <c r="M454" s="230"/>
      <c r="N454" s="230"/>
    </row>
    <row r="455" spans="13:14" x14ac:dyDescent="0.25">
      <c r="M455" s="230"/>
      <c r="N455" s="230"/>
    </row>
    <row r="456" spans="13:14" x14ac:dyDescent="0.25">
      <c r="M456" s="230"/>
      <c r="N456" s="230"/>
    </row>
    <row r="457" spans="13:14" x14ac:dyDescent="0.25">
      <c r="M457" s="230"/>
      <c r="N457" s="23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O40"/>
  <sheetViews>
    <sheetView zoomScale="130" zoomScaleNormal="130" workbookViewId="0">
      <selection activeCell="J1" sqref="J1"/>
    </sheetView>
  </sheetViews>
  <sheetFormatPr defaultColWidth="9.140625" defaultRowHeight="12.75" customHeight="1" outlineLevelCol="1" x14ac:dyDescent="0.25"/>
  <cols>
    <col min="1" max="1" width="5.42578125" style="24" bestFit="1" customWidth="1"/>
    <col min="2" max="2" width="31.42578125" bestFit="1" customWidth="1"/>
    <col min="3" max="3" width="26.5703125" style="25" bestFit="1" customWidth="1"/>
    <col min="4" max="4" width="9.140625" style="26"/>
    <col min="5" max="5" width="16.140625" style="26" customWidth="1"/>
    <col min="6" max="6" width="11.42578125" hidden="1" customWidth="1" outlineLevel="1"/>
    <col min="7" max="7" width="12.28515625" hidden="1" customWidth="1" outlineLevel="1"/>
    <col min="8" max="8" width="10.85546875" customWidth="1" collapsed="1"/>
    <col min="9" max="9" width="15.7109375" customWidth="1"/>
    <col min="10" max="11" width="12.85546875" customWidth="1"/>
    <col min="12" max="12" width="12.85546875" style="23" customWidth="1"/>
    <col min="13" max="14" width="12.85546875" customWidth="1"/>
    <col min="15" max="15" width="70.85546875" bestFit="1" customWidth="1"/>
  </cols>
  <sheetData>
    <row r="1" spans="1:15" ht="57" customHeight="1" x14ac:dyDescent="0.25">
      <c r="A1" s="186" t="s">
        <v>0</v>
      </c>
      <c r="B1" s="186" t="s">
        <v>1</v>
      </c>
      <c r="C1" s="186" t="s">
        <v>2</v>
      </c>
      <c r="D1" s="186" t="s">
        <v>3</v>
      </c>
      <c r="E1" s="186" t="s">
        <v>4</v>
      </c>
      <c r="F1" s="234" t="s">
        <v>119</v>
      </c>
      <c r="G1" s="234"/>
      <c r="H1" s="186" t="s">
        <v>5</v>
      </c>
      <c r="I1" s="186" t="s">
        <v>6</v>
      </c>
      <c r="J1" s="228" t="s">
        <v>7</v>
      </c>
      <c r="K1" s="228" t="s">
        <v>258</v>
      </c>
      <c r="L1" s="228" t="s">
        <v>8</v>
      </c>
      <c r="M1" s="186" t="s">
        <v>9</v>
      </c>
      <c r="N1" s="186" t="s">
        <v>10</v>
      </c>
      <c r="O1" s="187" t="s">
        <v>147</v>
      </c>
    </row>
    <row r="2" spans="1:15" ht="12.75" customHeight="1" x14ac:dyDescent="0.25">
      <c r="A2" s="188">
        <v>1</v>
      </c>
      <c r="B2" s="216" t="s">
        <v>11</v>
      </c>
      <c r="C2" s="216">
        <v>40272</v>
      </c>
      <c r="D2" s="188" t="s">
        <v>13</v>
      </c>
      <c r="E2" s="188" t="s">
        <v>14</v>
      </c>
      <c r="F2" s="189">
        <v>44958</v>
      </c>
      <c r="G2" s="189">
        <v>45322</v>
      </c>
      <c r="H2" s="189">
        <v>45323</v>
      </c>
      <c r="I2" s="189">
        <v>45688</v>
      </c>
      <c r="J2" s="190">
        <f>I2+56</f>
        <v>45744</v>
      </c>
      <c r="K2" s="183">
        <f>I2+90</f>
        <v>45778</v>
      </c>
      <c r="L2" s="184">
        <f>I2+120</f>
        <v>45808</v>
      </c>
      <c r="M2" s="188">
        <f>I2-H2</f>
        <v>365</v>
      </c>
      <c r="N2" s="191">
        <f>M2/30</f>
        <v>12.166666666666666</v>
      </c>
      <c r="O2" s="192"/>
    </row>
    <row r="3" spans="1:15" ht="12.75" customHeight="1" x14ac:dyDescent="0.25">
      <c r="A3" s="188">
        <v>1</v>
      </c>
      <c r="B3" s="216" t="s">
        <v>15</v>
      </c>
      <c r="C3" s="216" t="s">
        <v>149</v>
      </c>
      <c r="D3" s="188" t="s">
        <v>16</v>
      </c>
      <c r="E3" s="188" t="s">
        <v>17</v>
      </c>
      <c r="F3" s="189">
        <v>44958</v>
      </c>
      <c r="G3" s="189">
        <v>45322</v>
      </c>
      <c r="H3" s="189">
        <v>45323</v>
      </c>
      <c r="I3" s="189">
        <v>45688</v>
      </c>
      <c r="J3" s="190">
        <f t="shared" ref="J3:J38" si="0">I3+56</f>
        <v>45744</v>
      </c>
      <c r="K3" s="183">
        <f t="shared" ref="K3:K38" si="1">I3+90</f>
        <v>45778</v>
      </c>
      <c r="L3" s="184">
        <f t="shared" ref="L3:L38" si="2">I3+120</f>
        <v>45808</v>
      </c>
      <c r="M3" s="188">
        <f t="shared" ref="M3:M38" si="3">I3-H3</f>
        <v>365</v>
      </c>
      <c r="N3" s="191">
        <f t="shared" ref="N3:N38" si="4">M3/30</f>
        <v>12.166666666666666</v>
      </c>
      <c r="O3" s="192"/>
    </row>
    <row r="4" spans="1:15" ht="12.75" customHeight="1" x14ac:dyDescent="0.25">
      <c r="A4" s="188">
        <v>1</v>
      </c>
      <c r="B4" s="216" t="s">
        <v>18</v>
      </c>
      <c r="C4" s="216" t="s">
        <v>19</v>
      </c>
      <c r="D4" s="188" t="s">
        <v>20</v>
      </c>
      <c r="E4" s="188" t="s">
        <v>17</v>
      </c>
      <c r="F4" s="189">
        <v>44958</v>
      </c>
      <c r="G4" s="189">
        <v>45322</v>
      </c>
      <c r="H4" s="189">
        <v>45323</v>
      </c>
      <c r="I4" s="189">
        <v>45688</v>
      </c>
      <c r="J4" s="190">
        <f t="shared" si="0"/>
        <v>45744</v>
      </c>
      <c r="K4" s="183">
        <f t="shared" si="1"/>
        <v>45778</v>
      </c>
      <c r="L4" s="184">
        <f t="shared" si="2"/>
        <v>45808</v>
      </c>
      <c r="M4" s="188">
        <f t="shared" si="3"/>
        <v>365</v>
      </c>
      <c r="N4" s="191">
        <f t="shared" si="4"/>
        <v>12.166666666666666</v>
      </c>
      <c r="O4" s="192"/>
    </row>
    <row r="5" spans="1:15" ht="12.75" customHeight="1" x14ac:dyDescent="0.25">
      <c r="A5" s="193">
        <v>2</v>
      </c>
      <c r="B5" s="217" t="s">
        <v>21</v>
      </c>
      <c r="C5" s="218" t="s">
        <v>151</v>
      </c>
      <c r="D5" s="193" t="s">
        <v>22</v>
      </c>
      <c r="E5" s="193" t="s">
        <v>23</v>
      </c>
      <c r="F5" s="194">
        <v>44986</v>
      </c>
      <c r="G5" s="194">
        <v>45351</v>
      </c>
      <c r="H5" s="194">
        <v>45352</v>
      </c>
      <c r="I5" s="194">
        <v>45716</v>
      </c>
      <c r="J5" s="190">
        <f t="shared" si="0"/>
        <v>45772</v>
      </c>
      <c r="K5" s="183">
        <f t="shared" si="1"/>
        <v>45806</v>
      </c>
      <c r="L5" s="184">
        <f t="shared" si="2"/>
        <v>45836</v>
      </c>
      <c r="M5" s="188">
        <f t="shared" si="3"/>
        <v>364</v>
      </c>
      <c r="N5" s="195">
        <f t="shared" si="4"/>
        <v>12.133333333333333</v>
      </c>
      <c r="O5" s="192"/>
    </row>
    <row r="6" spans="1:15" ht="12.75" customHeight="1" x14ac:dyDescent="0.25">
      <c r="A6" s="193">
        <v>2</v>
      </c>
      <c r="B6" s="217" t="s">
        <v>24</v>
      </c>
      <c r="C6" s="217" t="s">
        <v>25</v>
      </c>
      <c r="D6" s="193" t="s">
        <v>26</v>
      </c>
      <c r="E6" s="193" t="s">
        <v>17</v>
      </c>
      <c r="F6" s="194">
        <v>44986</v>
      </c>
      <c r="G6" s="194">
        <v>45351</v>
      </c>
      <c r="H6" s="194">
        <v>45352</v>
      </c>
      <c r="I6" s="194">
        <v>45716</v>
      </c>
      <c r="J6" s="190">
        <f t="shared" si="0"/>
        <v>45772</v>
      </c>
      <c r="K6" s="183">
        <f t="shared" si="1"/>
        <v>45806</v>
      </c>
      <c r="L6" s="184">
        <f t="shared" si="2"/>
        <v>45836</v>
      </c>
      <c r="M6" s="188">
        <f t="shared" si="3"/>
        <v>364</v>
      </c>
      <c r="N6" s="195">
        <f t="shared" si="4"/>
        <v>12.133333333333333</v>
      </c>
      <c r="O6" s="192"/>
    </row>
    <row r="7" spans="1:15" ht="12.75" customHeight="1" x14ac:dyDescent="0.25">
      <c r="A7" s="193">
        <v>2</v>
      </c>
      <c r="B7" s="217" t="s">
        <v>27</v>
      </c>
      <c r="C7" s="217" t="s">
        <v>163</v>
      </c>
      <c r="D7" s="193" t="s">
        <v>28</v>
      </c>
      <c r="E7" s="193" t="s">
        <v>29</v>
      </c>
      <c r="F7" s="194">
        <v>44986</v>
      </c>
      <c r="G7" s="194">
        <v>45351</v>
      </c>
      <c r="H7" s="194">
        <v>45352</v>
      </c>
      <c r="I7" s="194">
        <v>45716</v>
      </c>
      <c r="J7" s="190">
        <f t="shared" si="0"/>
        <v>45772</v>
      </c>
      <c r="K7" s="183">
        <f t="shared" si="1"/>
        <v>45806</v>
      </c>
      <c r="L7" s="184">
        <f t="shared" si="2"/>
        <v>45836</v>
      </c>
      <c r="M7" s="188">
        <f t="shared" si="3"/>
        <v>364</v>
      </c>
      <c r="N7" s="195">
        <f t="shared" si="4"/>
        <v>12.133333333333333</v>
      </c>
      <c r="O7" s="192"/>
    </row>
    <row r="8" spans="1:15" ht="12.75" customHeight="1" x14ac:dyDescent="0.25">
      <c r="A8" s="193">
        <v>2</v>
      </c>
      <c r="B8" s="217" t="s">
        <v>30</v>
      </c>
      <c r="C8" s="217">
        <v>44000</v>
      </c>
      <c r="D8" s="193" t="s">
        <v>31</v>
      </c>
      <c r="E8" s="193" t="s">
        <v>29</v>
      </c>
      <c r="F8" s="194">
        <v>44986</v>
      </c>
      <c r="G8" s="194">
        <v>45351</v>
      </c>
      <c r="H8" s="194">
        <v>45352</v>
      </c>
      <c r="I8" s="194">
        <v>45716</v>
      </c>
      <c r="J8" s="190">
        <f t="shared" si="0"/>
        <v>45772</v>
      </c>
      <c r="K8" s="183">
        <f t="shared" si="1"/>
        <v>45806</v>
      </c>
      <c r="L8" s="184">
        <f t="shared" si="2"/>
        <v>45836</v>
      </c>
      <c r="M8" s="188">
        <f t="shared" si="3"/>
        <v>364</v>
      </c>
      <c r="N8" s="195">
        <f t="shared" si="4"/>
        <v>12.133333333333333</v>
      </c>
      <c r="O8" s="192"/>
    </row>
    <row r="9" spans="1:15" ht="12.75" customHeight="1" x14ac:dyDescent="0.25">
      <c r="A9" s="196">
        <v>3</v>
      </c>
      <c r="B9" s="219" t="s">
        <v>32</v>
      </c>
      <c r="C9" s="219">
        <v>40177</v>
      </c>
      <c r="D9" s="196" t="s">
        <v>33</v>
      </c>
      <c r="E9" s="196" t="s">
        <v>17</v>
      </c>
      <c r="F9" s="197">
        <v>45017</v>
      </c>
      <c r="G9" s="197">
        <v>45382</v>
      </c>
      <c r="H9" s="197">
        <v>45383</v>
      </c>
      <c r="I9" s="197">
        <v>45747</v>
      </c>
      <c r="J9" s="190">
        <f t="shared" si="0"/>
        <v>45803</v>
      </c>
      <c r="K9" s="183">
        <f t="shared" si="1"/>
        <v>45837</v>
      </c>
      <c r="L9" s="184">
        <f t="shared" si="2"/>
        <v>45867</v>
      </c>
      <c r="M9" s="188">
        <f t="shared" si="3"/>
        <v>364</v>
      </c>
      <c r="N9" s="198">
        <f t="shared" si="4"/>
        <v>12.133333333333333</v>
      </c>
      <c r="O9" s="192"/>
    </row>
    <row r="10" spans="1:15" ht="12.75" customHeight="1" x14ac:dyDescent="0.25">
      <c r="A10" s="196">
        <v>3</v>
      </c>
      <c r="B10" s="219" t="s">
        <v>34</v>
      </c>
      <c r="C10" s="219" t="s">
        <v>162</v>
      </c>
      <c r="D10" s="196" t="s">
        <v>35</v>
      </c>
      <c r="E10" s="196" t="s">
        <v>36</v>
      </c>
      <c r="F10" s="197">
        <v>45017</v>
      </c>
      <c r="G10" s="197">
        <v>45382</v>
      </c>
      <c r="H10" s="197">
        <v>45383</v>
      </c>
      <c r="I10" s="197">
        <v>45747</v>
      </c>
      <c r="J10" s="190">
        <f t="shared" si="0"/>
        <v>45803</v>
      </c>
      <c r="K10" s="183">
        <f t="shared" si="1"/>
        <v>45837</v>
      </c>
      <c r="L10" s="184">
        <f t="shared" si="2"/>
        <v>45867</v>
      </c>
      <c r="M10" s="188">
        <f t="shared" si="3"/>
        <v>364</v>
      </c>
      <c r="N10" s="198">
        <f t="shared" si="4"/>
        <v>12.133333333333333</v>
      </c>
      <c r="O10" s="192"/>
    </row>
    <row r="11" spans="1:15" ht="12.75" customHeight="1" x14ac:dyDescent="0.25">
      <c r="A11" s="196">
        <v>3</v>
      </c>
      <c r="B11" s="219" t="s">
        <v>37</v>
      </c>
      <c r="C11" s="219" t="s">
        <v>38</v>
      </c>
      <c r="D11" s="196" t="s">
        <v>39</v>
      </c>
      <c r="E11" s="196" t="s">
        <v>36</v>
      </c>
      <c r="F11" s="197">
        <v>45017</v>
      </c>
      <c r="G11" s="197">
        <v>45382</v>
      </c>
      <c r="H11" s="197">
        <v>45383</v>
      </c>
      <c r="I11" s="197">
        <v>45747</v>
      </c>
      <c r="J11" s="190">
        <f t="shared" si="0"/>
        <v>45803</v>
      </c>
      <c r="K11" s="183">
        <f t="shared" si="1"/>
        <v>45837</v>
      </c>
      <c r="L11" s="184">
        <f t="shared" si="2"/>
        <v>45867</v>
      </c>
      <c r="M11" s="188">
        <f t="shared" si="3"/>
        <v>364</v>
      </c>
      <c r="N11" s="198">
        <f t="shared" si="4"/>
        <v>12.133333333333333</v>
      </c>
      <c r="O11" s="192"/>
    </row>
    <row r="12" spans="1:15" ht="12.75" customHeight="1" x14ac:dyDescent="0.25">
      <c r="A12" s="199">
        <v>4</v>
      </c>
      <c r="B12" s="220" t="s">
        <v>42</v>
      </c>
      <c r="C12" s="220" t="s">
        <v>43</v>
      </c>
      <c r="D12" s="199" t="s">
        <v>44</v>
      </c>
      <c r="E12" s="199" t="s">
        <v>118</v>
      </c>
      <c r="F12" s="200">
        <v>45047</v>
      </c>
      <c r="G12" s="200">
        <v>45412</v>
      </c>
      <c r="H12" s="200">
        <v>45413</v>
      </c>
      <c r="I12" s="200">
        <v>45777</v>
      </c>
      <c r="J12" s="190">
        <f t="shared" si="0"/>
        <v>45833</v>
      </c>
      <c r="K12" s="183">
        <f t="shared" si="1"/>
        <v>45867</v>
      </c>
      <c r="L12" s="184">
        <f t="shared" si="2"/>
        <v>45897</v>
      </c>
      <c r="M12" s="188">
        <f t="shared" si="3"/>
        <v>364</v>
      </c>
      <c r="N12" s="201">
        <f t="shared" si="4"/>
        <v>12.133333333333333</v>
      </c>
      <c r="O12" s="192"/>
    </row>
    <row r="13" spans="1:15" ht="12.75" customHeight="1" x14ac:dyDescent="0.25">
      <c r="A13" s="199">
        <v>4</v>
      </c>
      <c r="B13" s="220" t="s">
        <v>45</v>
      </c>
      <c r="C13" s="220" t="s">
        <v>46</v>
      </c>
      <c r="D13" s="199" t="s">
        <v>47</v>
      </c>
      <c r="E13" s="199" t="s">
        <v>29</v>
      </c>
      <c r="F13" s="200">
        <v>45047</v>
      </c>
      <c r="G13" s="200">
        <v>45412</v>
      </c>
      <c r="H13" s="200">
        <v>45413</v>
      </c>
      <c r="I13" s="200">
        <v>45777</v>
      </c>
      <c r="J13" s="190">
        <f t="shared" si="0"/>
        <v>45833</v>
      </c>
      <c r="K13" s="183">
        <f t="shared" si="1"/>
        <v>45867</v>
      </c>
      <c r="L13" s="184">
        <f t="shared" si="2"/>
        <v>45897</v>
      </c>
      <c r="M13" s="188">
        <f t="shared" si="3"/>
        <v>364</v>
      </c>
      <c r="N13" s="201">
        <f t="shared" si="4"/>
        <v>12.133333333333333</v>
      </c>
      <c r="O13" s="192"/>
    </row>
    <row r="14" spans="1:15" ht="12.75" customHeight="1" x14ac:dyDescent="0.25">
      <c r="A14" s="199">
        <v>4</v>
      </c>
      <c r="B14" s="220" t="s">
        <v>48</v>
      </c>
      <c r="C14" s="220" t="s">
        <v>49</v>
      </c>
      <c r="D14" s="199" t="s">
        <v>50</v>
      </c>
      <c r="E14" s="199" t="s">
        <v>36</v>
      </c>
      <c r="F14" s="200">
        <v>45047</v>
      </c>
      <c r="G14" s="200">
        <v>45412</v>
      </c>
      <c r="H14" s="200">
        <v>45413</v>
      </c>
      <c r="I14" s="200">
        <v>45777</v>
      </c>
      <c r="J14" s="190">
        <f t="shared" si="0"/>
        <v>45833</v>
      </c>
      <c r="K14" s="183">
        <f t="shared" si="1"/>
        <v>45867</v>
      </c>
      <c r="L14" s="184">
        <f t="shared" si="2"/>
        <v>45897</v>
      </c>
      <c r="M14" s="188">
        <f t="shared" si="3"/>
        <v>364</v>
      </c>
      <c r="N14" s="201">
        <f t="shared" si="4"/>
        <v>12.133333333333333</v>
      </c>
      <c r="O14" s="192"/>
    </row>
    <row r="15" spans="1:15" ht="12.75" customHeight="1" x14ac:dyDescent="0.25">
      <c r="A15" s="202">
        <v>5</v>
      </c>
      <c r="B15" s="221" t="s">
        <v>40</v>
      </c>
      <c r="C15" s="221">
        <v>40058</v>
      </c>
      <c r="D15" s="202" t="s">
        <v>41</v>
      </c>
      <c r="E15" s="202" t="s">
        <v>17</v>
      </c>
      <c r="F15" s="203">
        <v>45047</v>
      </c>
      <c r="G15" s="203">
        <v>45412</v>
      </c>
      <c r="H15" s="203">
        <v>45413</v>
      </c>
      <c r="I15" s="203">
        <v>45808</v>
      </c>
      <c r="J15" s="190">
        <f>I15+56</f>
        <v>45864</v>
      </c>
      <c r="K15" s="183">
        <f>I15+90</f>
        <v>45898</v>
      </c>
      <c r="L15" s="184">
        <f>I15+120</f>
        <v>45928</v>
      </c>
      <c r="M15" s="188">
        <f>I15-H15</f>
        <v>395</v>
      </c>
      <c r="N15" s="204">
        <f>M15/30</f>
        <v>13.166666666666666</v>
      </c>
      <c r="O15" s="192" t="s">
        <v>168</v>
      </c>
    </row>
    <row r="16" spans="1:15" ht="12.75" customHeight="1" x14ac:dyDescent="0.25">
      <c r="A16" s="202">
        <v>5</v>
      </c>
      <c r="B16" s="221" t="s">
        <v>51</v>
      </c>
      <c r="C16" s="221" t="s">
        <v>52</v>
      </c>
      <c r="D16" s="202" t="s">
        <v>53</v>
      </c>
      <c r="E16" s="202" t="s">
        <v>54</v>
      </c>
      <c r="F16" s="203">
        <v>45078</v>
      </c>
      <c r="G16" s="203">
        <v>45443</v>
      </c>
      <c r="H16" s="203">
        <v>45444</v>
      </c>
      <c r="I16" s="203">
        <v>45808</v>
      </c>
      <c r="J16" s="190">
        <f t="shared" si="0"/>
        <v>45864</v>
      </c>
      <c r="K16" s="183">
        <f t="shared" si="1"/>
        <v>45898</v>
      </c>
      <c r="L16" s="184">
        <f t="shared" si="2"/>
        <v>45928</v>
      </c>
      <c r="M16" s="188">
        <f t="shared" si="3"/>
        <v>364</v>
      </c>
      <c r="N16" s="204">
        <f t="shared" si="4"/>
        <v>12.133333333333333</v>
      </c>
      <c r="O16" s="192"/>
    </row>
    <row r="17" spans="1:15" ht="12.75" customHeight="1" x14ac:dyDescent="0.25">
      <c r="A17" s="202">
        <v>5</v>
      </c>
      <c r="B17" s="221" t="s">
        <v>55</v>
      </c>
      <c r="C17" s="221">
        <v>40180</v>
      </c>
      <c r="D17" s="202" t="s">
        <v>56</v>
      </c>
      <c r="E17" s="202" t="s">
        <v>57</v>
      </c>
      <c r="F17" s="203">
        <v>45078</v>
      </c>
      <c r="G17" s="203">
        <v>45443</v>
      </c>
      <c r="H17" s="203">
        <v>45444</v>
      </c>
      <c r="I17" s="203">
        <v>45808</v>
      </c>
      <c r="J17" s="190">
        <f t="shared" si="0"/>
        <v>45864</v>
      </c>
      <c r="K17" s="183">
        <f t="shared" si="1"/>
        <v>45898</v>
      </c>
      <c r="L17" s="184">
        <f t="shared" si="2"/>
        <v>45928</v>
      </c>
      <c r="M17" s="188">
        <f t="shared" si="3"/>
        <v>364</v>
      </c>
      <c r="N17" s="204">
        <f t="shared" si="4"/>
        <v>12.133333333333333</v>
      </c>
      <c r="O17" s="192"/>
    </row>
    <row r="18" spans="1:15" ht="12.75" customHeight="1" x14ac:dyDescent="0.25">
      <c r="A18" s="202">
        <v>5</v>
      </c>
      <c r="B18" s="221" t="s">
        <v>113</v>
      </c>
      <c r="C18" s="221">
        <v>40190</v>
      </c>
      <c r="D18" s="202" t="s">
        <v>56</v>
      </c>
      <c r="E18" s="202" t="s">
        <v>57</v>
      </c>
      <c r="F18" s="203" t="s">
        <v>114</v>
      </c>
      <c r="G18" s="203" t="s">
        <v>114</v>
      </c>
      <c r="H18" s="203">
        <v>45413</v>
      </c>
      <c r="I18" s="203">
        <v>45808</v>
      </c>
      <c r="J18" s="190">
        <f t="shared" si="0"/>
        <v>45864</v>
      </c>
      <c r="K18" s="183">
        <f t="shared" si="1"/>
        <v>45898</v>
      </c>
      <c r="L18" s="184">
        <f t="shared" si="2"/>
        <v>45928</v>
      </c>
      <c r="M18" s="188">
        <f t="shared" si="3"/>
        <v>395</v>
      </c>
      <c r="N18" s="204">
        <f t="shared" si="4"/>
        <v>13.166666666666666</v>
      </c>
      <c r="O18" s="192"/>
    </row>
    <row r="19" spans="1:15" ht="12.75" customHeight="1" x14ac:dyDescent="0.25">
      <c r="A19" s="202">
        <v>5</v>
      </c>
      <c r="B19" s="221" t="s">
        <v>61</v>
      </c>
      <c r="C19" s="221" t="s">
        <v>62</v>
      </c>
      <c r="D19" s="202" t="s">
        <v>63</v>
      </c>
      <c r="E19" s="202" t="s">
        <v>64</v>
      </c>
      <c r="F19" s="203">
        <v>45078</v>
      </c>
      <c r="G19" s="203">
        <v>45443</v>
      </c>
      <c r="H19" s="203">
        <v>45444</v>
      </c>
      <c r="I19" s="203">
        <v>45808</v>
      </c>
      <c r="J19" s="190">
        <f t="shared" si="0"/>
        <v>45864</v>
      </c>
      <c r="K19" s="183">
        <f t="shared" si="1"/>
        <v>45898</v>
      </c>
      <c r="L19" s="184">
        <f t="shared" si="2"/>
        <v>45928</v>
      </c>
      <c r="M19" s="188">
        <f t="shared" si="3"/>
        <v>364</v>
      </c>
      <c r="N19" s="204">
        <f t="shared" si="4"/>
        <v>12.133333333333333</v>
      </c>
      <c r="O19" s="192"/>
    </row>
    <row r="20" spans="1:15" ht="12.75" customHeight="1" x14ac:dyDescent="0.25">
      <c r="A20" s="185">
        <v>6</v>
      </c>
      <c r="B20" s="222" t="s">
        <v>65</v>
      </c>
      <c r="C20" s="222">
        <v>40150</v>
      </c>
      <c r="D20" s="185" t="s">
        <v>66</v>
      </c>
      <c r="E20" s="185" t="s">
        <v>259</v>
      </c>
      <c r="F20" s="205">
        <v>45108</v>
      </c>
      <c r="G20" s="205">
        <v>45473</v>
      </c>
      <c r="H20" s="205">
        <v>45474</v>
      </c>
      <c r="I20" s="205">
        <v>45838</v>
      </c>
      <c r="J20" s="190">
        <f t="shared" si="0"/>
        <v>45894</v>
      </c>
      <c r="K20" s="183">
        <f t="shared" si="1"/>
        <v>45928</v>
      </c>
      <c r="L20" s="184">
        <f t="shared" si="2"/>
        <v>45958</v>
      </c>
      <c r="M20" s="188">
        <f t="shared" si="3"/>
        <v>364</v>
      </c>
      <c r="N20" s="206">
        <f t="shared" si="4"/>
        <v>12.133333333333333</v>
      </c>
      <c r="O20" s="192"/>
    </row>
    <row r="21" spans="1:15" ht="12.75" customHeight="1" x14ac:dyDescent="0.25">
      <c r="A21" s="185">
        <v>6</v>
      </c>
      <c r="B21" s="222" t="s">
        <v>67</v>
      </c>
      <c r="C21" s="222" t="s">
        <v>68</v>
      </c>
      <c r="D21" s="185" t="s">
        <v>69</v>
      </c>
      <c r="E21" s="185" t="s">
        <v>259</v>
      </c>
      <c r="F21" s="205">
        <v>45108</v>
      </c>
      <c r="G21" s="205">
        <v>45473</v>
      </c>
      <c r="H21" s="205">
        <v>45474</v>
      </c>
      <c r="I21" s="205">
        <v>45838</v>
      </c>
      <c r="J21" s="190">
        <f t="shared" si="0"/>
        <v>45894</v>
      </c>
      <c r="K21" s="183">
        <f t="shared" si="1"/>
        <v>45928</v>
      </c>
      <c r="L21" s="184">
        <f t="shared" si="2"/>
        <v>45958</v>
      </c>
      <c r="M21" s="188">
        <f t="shared" si="3"/>
        <v>364</v>
      </c>
      <c r="N21" s="206">
        <f t="shared" si="4"/>
        <v>12.133333333333333</v>
      </c>
      <c r="O21" s="192"/>
    </row>
    <row r="22" spans="1:15" ht="12.75" customHeight="1" x14ac:dyDescent="0.25">
      <c r="A22" s="185">
        <v>6</v>
      </c>
      <c r="B22" s="222" t="s">
        <v>70</v>
      </c>
      <c r="C22" s="222" t="s">
        <v>71</v>
      </c>
      <c r="D22" s="185" t="s">
        <v>72</v>
      </c>
      <c r="E22" s="185" t="s">
        <v>226</v>
      </c>
      <c r="F22" s="205">
        <v>45108</v>
      </c>
      <c r="G22" s="205">
        <v>45473</v>
      </c>
      <c r="H22" s="205">
        <v>45474</v>
      </c>
      <c r="I22" s="205">
        <v>45838</v>
      </c>
      <c r="J22" s="190">
        <f t="shared" si="0"/>
        <v>45894</v>
      </c>
      <c r="K22" s="183">
        <f t="shared" si="1"/>
        <v>45928</v>
      </c>
      <c r="L22" s="184">
        <f t="shared" si="2"/>
        <v>45958</v>
      </c>
      <c r="M22" s="188">
        <f t="shared" si="3"/>
        <v>364</v>
      </c>
      <c r="N22" s="206">
        <f t="shared" si="4"/>
        <v>12.133333333333333</v>
      </c>
      <c r="O22" s="192"/>
    </row>
    <row r="23" spans="1:15" ht="12.75" customHeight="1" x14ac:dyDescent="0.25">
      <c r="A23" s="185">
        <v>6</v>
      </c>
      <c r="B23" s="222" t="s">
        <v>58</v>
      </c>
      <c r="C23" s="222" t="s">
        <v>59</v>
      </c>
      <c r="D23" s="185" t="s">
        <v>60</v>
      </c>
      <c r="E23" s="185" t="s">
        <v>260</v>
      </c>
      <c r="F23" s="205">
        <v>45078</v>
      </c>
      <c r="G23" s="205">
        <v>45443</v>
      </c>
      <c r="H23" s="205">
        <v>45444</v>
      </c>
      <c r="I23" s="205">
        <v>45838</v>
      </c>
      <c r="J23" s="190">
        <f t="shared" si="0"/>
        <v>45894</v>
      </c>
      <c r="K23" s="183">
        <f>I23+90</f>
        <v>45928</v>
      </c>
      <c r="L23" s="184">
        <f>I23+120</f>
        <v>45958</v>
      </c>
      <c r="M23" s="188">
        <f>I23-H23</f>
        <v>394</v>
      </c>
      <c r="N23" s="204">
        <f>M23/30</f>
        <v>13.133333333333333</v>
      </c>
      <c r="O23" s="192"/>
    </row>
    <row r="24" spans="1:15" ht="12.75" customHeight="1" x14ac:dyDescent="0.25">
      <c r="A24" s="207">
        <v>7</v>
      </c>
      <c r="B24" s="223" t="s">
        <v>73</v>
      </c>
      <c r="C24" s="223">
        <v>40446</v>
      </c>
      <c r="D24" s="207" t="s">
        <v>74</v>
      </c>
      <c r="E24" s="207" t="s">
        <v>17</v>
      </c>
      <c r="F24" s="208">
        <v>45108</v>
      </c>
      <c r="G24" s="208">
        <v>45473</v>
      </c>
      <c r="H24" s="208">
        <v>45474</v>
      </c>
      <c r="I24" s="208">
        <v>45869</v>
      </c>
      <c r="J24" s="190">
        <f t="shared" si="0"/>
        <v>45925</v>
      </c>
      <c r="K24" s="183">
        <f t="shared" si="1"/>
        <v>45959</v>
      </c>
      <c r="L24" s="184">
        <f t="shared" si="2"/>
        <v>45989</v>
      </c>
      <c r="M24" s="188">
        <f t="shared" si="3"/>
        <v>395</v>
      </c>
      <c r="N24" s="206">
        <f>M24/30</f>
        <v>13.166666666666666</v>
      </c>
      <c r="O24" s="192"/>
    </row>
    <row r="25" spans="1:15" ht="12.75" customHeight="1" x14ac:dyDescent="0.25">
      <c r="A25" s="207">
        <v>7</v>
      </c>
      <c r="B25" s="223" t="s">
        <v>75</v>
      </c>
      <c r="C25" s="223" t="s">
        <v>76</v>
      </c>
      <c r="D25" s="207" t="s">
        <v>77</v>
      </c>
      <c r="E25" s="207" t="s">
        <v>17</v>
      </c>
      <c r="F25" s="208">
        <v>45139</v>
      </c>
      <c r="G25" s="208">
        <v>45504</v>
      </c>
      <c r="H25" s="208">
        <v>45505</v>
      </c>
      <c r="I25" s="208">
        <v>45869</v>
      </c>
      <c r="J25" s="190">
        <f t="shared" si="0"/>
        <v>45925</v>
      </c>
      <c r="K25" s="183">
        <f t="shared" si="1"/>
        <v>45959</v>
      </c>
      <c r="L25" s="184">
        <f t="shared" si="2"/>
        <v>45989</v>
      </c>
      <c r="M25" s="188">
        <f t="shared" si="3"/>
        <v>364</v>
      </c>
      <c r="N25" s="209">
        <f t="shared" si="4"/>
        <v>12.133333333333333</v>
      </c>
      <c r="O25" s="192"/>
    </row>
    <row r="26" spans="1:15" ht="12.75" customHeight="1" x14ac:dyDescent="0.25">
      <c r="A26" s="207">
        <v>7</v>
      </c>
      <c r="B26" s="223" t="s">
        <v>78</v>
      </c>
      <c r="C26" s="223">
        <v>43375</v>
      </c>
      <c r="D26" s="207" t="s">
        <v>79</v>
      </c>
      <c r="E26" s="207" t="s">
        <v>80</v>
      </c>
      <c r="F26" s="208">
        <v>45139</v>
      </c>
      <c r="G26" s="208">
        <v>45504</v>
      </c>
      <c r="H26" s="208">
        <v>45505</v>
      </c>
      <c r="I26" s="208">
        <v>45869</v>
      </c>
      <c r="J26" s="190">
        <f t="shared" si="0"/>
        <v>45925</v>
      </c>
      <c r="K26" s="183">
        <f t="shared" si="1"/>
        <v>45959</v>
      </c>
      <c r="L26" s="184">
        <f t="shared" si="2"/>
        <v>45989</v>
      </c>
      <c r="M26" s="188">
        <f t="shared" si="3"/>
        <v>364</v>
      </c>
      <c r="N26" s="209">
        <f t="shared" si="4"/>
        <v>12.133333333333333</v>
      </c>
      <c r="O26" s="192"/>
    </row>
    <row r="27" spans="1:15" ht="12.75" customHeight="1" x14ac:dyDescent="0.25">
      <c r="A27" s="207">
        <v>7</v>
      </c>
      <c r="B27" s="223" t="s">
        <v>81</v>
      </c>
      <c r="C27" s="223" t="s">
        <v>82</v>
      </c>
      <c r="D27" s="207" t="s">
        <v>83</v>
      </c>
      <c r="E27" s="207" t="s">
        <v>259</v>
      </c>
      <c r="F27" s="208">
        <v>45139</v>
      </c>
      <c r="G27" s="208">
        <v>45504</v>
      </c>
      <c r="H27" s="208">
        <v>45505</v>
      </c>
      <c r="I27" s="208">
        <v>45869</v>
      </c>
      <c r="J27" s="190">
        <f t="shared" si="0"/>
        <v>45925</v>
      </c>
      <c r="K27" s="183">
        <f t="shared" si="1"/>
        <v>45959</v>
      </c>
      <c r="L27" s="184">
        <f t="shared" si="2"/>
        <v>45989</v>
      </c>
      <c r="M27" s="188">
        <f t="shared" si="3"/>
        <v>364</v>
      </c>
      <c r="N27" s="209">
        <f t="shared" si="4"/>
        <v>12.133333333333333</v>
      </c>
      <c r="O27" s="192"/>
    </row>
    <row r="28" spans="1:15" ht="12.75" customHeight="1" x14ac:dyDescent="0.25">
      <c r="A28" s="210">
        <v>8</v>
      </c>
      <c r="B28" s="224" t="s">
        <v>84</v>
      </c>
      <c r="C28" s="224">
        <v>40045</v>
      </c>
      <c r="D28" s="210" t="s">
        <v>85</v>
      </c>
      <c r="E28" s="210" t="s">
        <v>17</v>
      </c>
      <c r="F28" s="211">
        <v>45170</v>
      </c>
      <c r="G28" s="211">
        <v>45535</v>
      </c>
      <c r="H28" s="211">
        <v>45536</v>
      </c>
      <c r="I28" s="211">
        <v>45900</v>
      </c>
      <c r="J28" s="190">
        <f t="shared" si="0"/>
        <v>45956</v>
      </c>
      <c r="K28" s="183">
        <f t="shared" si="1"/>
        <v>45990</v>
      </c>
      <c r="L28" s="184">
        <f t="shared" si="2"/>
        <v>46020</v>
      </c>
      <c r="M28" s="188">
        <f t="shared" si="3"/>
        <v>364</v>
      </c>
      <c r="N28" s="212">
        <f t="shared" si="4"/>
        <v>12.133333333333333</v>
      </c>
      <c r="O28" s="192"/>
    </row>
    <row r="29" spans="1:15" ht="12.75" customHeight="1" x14ac:dyDescent="0.25">
      <c r="A29" s="210">
        <v>8</v>
      </c>
      <c r="B29" s="224" t="s">
        <v>86</v>
      </c>
      <c r="C29" s="224" t="s">
        <v>87</v>
      </c>
      <c r="D29" s="210" t="s">
        <v>88</v>
      </c>
      <c r="E29" s="210" t="s">
        <v>89</v>
      </c>
      <c r="F29" s="211">
        <v>45170</v>
      </c>
      <c r="G29" s="211">
        <v>45535</v>
      </c>
      <c r="H29" s="211">
        <v>45536</v>
      </c>
      <c r="I29" s="211">
        <v>45900</v>
      </c>
      <c r="J29" s="190">
        <f t="shared" si="0"/>
        <v>45956</v>
      </c>
      <c r="K29" s="183">
        <f t="shared" si="1"/>
        <v>45990</v>
      </c>
      <c r="L29" s="184">
        <f t="shared" si="2"/>
        <v>46020</v>
      </c>
      <c r="M29" s="188">
        <f t="shared" si="3"/>
        <v>364</v>
      </c>
      <c r="N29" s="212">
        <f t="shared" si="4"/>
        <v>12.133333333333333</v>
      </c>
      <c r="O29" s="192"/>
    </row>
    <row r="30" spans="1:15" ht="12.75" customHeight="1" x14ac:dyDescent="0.25">
      <c r="A30" s="210">
        <v>8</v>
      </c>
      <c r="B30" s="224" t="s">
        <v>90</v>
      </c>
      <c r="C30" s="224">
        <v>40290</v>
      </c>
      <c r="D30" s="210" t="s">
        <v>91</v>
      </c>
      <c r="E30" s="210" t="s">
        <v>14</v>
      </c>
      <c r="F30" s="211">
        <v>45170</v>
      </c>
      <c r="G30" s="211">
        <v>45535</v>
      </c>
      <c r="H30" s="211">
        <v>45536</v>
      </c>
      <c r="I30" s="211">
        <v>45900</v>
      </c>
      <c r="J30" s="190">
        <f t="shared" si="0"/>
        <v>45956</v>
      </c>
      <c r="K30" s="183">
        <f t="shared" si="1"/>
        <v>45990</v>
      </c>
      <c r="L30" s="184">
        <f t="shared" si="2"/>
        <v>46020</v>
      </c>
      <c r="M30" s="188">
        <f t="shared" si="3"/>
        <v>364</v>
      </c>
      <c r="N30" s="212">
        <f t="shared" si="4"/>
        <v>12.133333333333333</v>
      </c>
      <c r="O30" s="192"/>
    </row>
    <row r="31" spans="1:15" ht="12.75" customHeight="1" x14ac:dyDescent="0.25">
      <c r="A31" s="210">
        <v>8</v>
      </c>
      <c r="B31" s="224" t="s">
        <v>92</v>
      </c>
      <c r="C31" s="224">
        <v>47600</v>
      </c>
      <c r="D31" s="210" t="s">
        <v>93</v>
      </c>
      <c r="E31" s="210" t="s">
        <v>36</v>
      </c>
      <c r="F31" s="211">
        <v>45170</v>
      </c>
      <c r="G31" s="211">
        <v>45535</v>
      </c>
      <c r="H31" s="211">
        <v>45536</v>
      </c>
      <c r="I31" s="211">
        <v>45900</v>
      </c>
      <c r="J31" s="190">
        <f t="shared" si="0"/>
        <v>45956</v>
      </c>
      <c r="K31" s="183">
        <f t="shared" si="1"/>
        <v>45990</v>
      </c>
      <c r="L31" s="184">
        <f t="shared" si="2"/>
        <v>46020</v>
      </c>
      <c r="M31" s="188">
        <f t="shared" si="3"/>
        <v>364</v>
      </c>
      <c r="N31" s="212">
        <f t="shared" si="4"/>
        <v>12.133333333333333</v>
      </c>
      <c r="O31" s="192"/>
    </row>
    <row r="32" spans="1:15" ht="12.75" customHeight="1" x14ac:dyDescent="0.25">
      <c r="A32" s="188">
        <v>9</v>
      </c>
      <c r="B32" s="216" t="s">
        <v>94</v>
      </c>
      <c r="C32" s="216" t="s">
        <v>95</v>
      </c>
      <c r="D32" s="188" t="s">
        <v>96</v>
      </c>
      <c r="E32" s="188" t="s">
        <v>97</v>
      </c>
      <c r="F32" s="189">
        <v>45200</v>
      </c>
      <c r="G32" s="189">
        <v>45565</v>
      </c>
      <c r="H32" s="189">
        <v>45566</v>
      </c>
      <c r="I32" s="189">
        <v>45930</v>
      </c>
      <c r="J32" s="190">
        <f t="shared" si="0"/>
        <v>45986</v>
      </c>
      <c r="K32" s="183">
        <f t="shared" si="1"/>
        <v>46020</v>
      </c>
      <c r="L32" s="184">
        <f t="shared" si="2"/>
        <v>46050</v>
      </c>
      <c r="M32" s="188">
        <f t="shared" si="3"/>
        <v>364</v>
      </c>
      <c r="N32" s="191">
        <f t="shared" si="4"/>
        <v>12.133333333333333</v>
      </c>
      <c r="O32" s="192"/>
    </row>
    <row r="33" spans="1:15" ht="12.75" customHeight="1" x14ac:dyDescent="0.25">
      <c r="A33" s="188">
        <v>9</v>
      </c>
      <c r="B33" s="216" t="s">
        <v>98</v>
      </c>
      <c r="C33" s="216">
        <v>41800</v>
      </c>
      <c r="D33" s="188" t="s">
        <v>99</v>
      </c>
      <c r="E33" s="188" t="s">
        <v>29</v>
      </c>
      <c r="F33" s="189">
        <v>45200</v>
      </c>
      <c r="G33" s="189">
        <v>45565</v>
      </c>
      <c r="H33" s="189">
        <v>45566</v>
      </c>
      <c r="I33" s="189">
        <v>45930</v>
      </c>
      <c r="J33" s="190">
        <f t="shared" si="0"/>
        <v>45986</v>
      </c>
      <c r="K33" s="183">
        <f t="shared" si="1"/>
        <v>46020</v>
      </c>
      <c r="L33" s="184">
        <f t="shared" si="2"/>
        <v>46050</v>
      </c>
      <c r="M33" s="188">
        <f t="shared" si="3"/>
        <v>364</v>
      </c>
      <c r="N33" s="191">
        <f t="shared" si="4"/>
        <v>12.133333333333333</v>
      </c>
      <c r="O33" s="192"/>
    </row>
    <row r="34" spans="1:15" ht="12.75" customHeight="1" x14ac:dyDescent="0.25">
      <c r="A34" s="188">
        <v>9</v>
      </c>
      <c r="B34" s="216" t="s">
        <v>100</v>
      </c>
      <c r="C34" s="216">
        <v>40750</v>
      </c>
      <c r="D34" s="188" t="s">
        <v>101</v>
      </c>
      <c r="E34" s="188" t="s">
        <v>29</v>
      </c>
      <c r="F34" s="189">
        <v>45200</v>
      </c>
      <c r="G34" s="189">
        <v>45565</v>
      </c>
      <c r="H34" s="189">
        <v>45566</v>
      </c>
      <c r="I34" s="189">
        <v>45930</v>
      </c>
      <c r="J34" s="190">
        <f t="shared" si="0"/>
        <v>45986</v>
      </c>
      <c r="K34" s="183">
        <f t="shared" si="1"/>
        <v>46020</v>
      </c>
      <c r="L34" s="184">
        <f t="shared" si="2"/>
        <v>46050</v>
      </c>
      <c r="M34" s="188">
        <f t="shared" si="3"/>
        <v>364</v>
      </c>
      <c r="N34" s="191">
        <f t="shared" si="4"/>
        <v>12.133333333333333</v>
      </c>
      <c r="O34" s="192"/>
    </row>
    <row r="35" spans="1:15" ht="12.75" customHeight="1" x14ac:dyDescent="0.25">
      <c r="A35" s="188">
        <v>9</v>
      </c>
      <c r="B35" s="216" t="s">
        <v>102</v>
      </c>
      <c r="C35" s="216">
        <v>42140</v>
      </c>
      <c r="D35" s="188" t="s">
        <v>103</v>
      </c>
      <c r="E35" s="188" t="s">
        <v>104</v>
      </c>
      <c r="F35" s="189">
        <v>45200</v>
      </c>
      <c r="G35" s="189">
        <v>45565</v>
      </c>
      <c r="H35" s="189">
        <v>45566</v>
      </c>
      <c r="I35" s="189">
        <v>45930</v>
      </c>
      <c r="J35" s="190">
        <f t="shared" si="0"/>
        <v>45986</v>
      </c>
      <c r="K35" s="183">
        <f t="shared" si="1"/>
        <v>46020</v>
      </c>
      <c r="L35" s="184">
        <f t="shared" si="2"/>
        <v>46050</v>
      </c>
      <c r="M35" s="188">
        <f t="shared" si="3"/>
        <v>364</v>
      </c>
      <c r="N35" s="191">
        <f t="shared" si="4"/>
        <v>12.133333333333333</v>
      </c>
      <c r="O35" s="192"/>
    </row>
    <row r="36" spans="1:15" ht="12.75" customHeight="1" x14ac:dyDescent="0.25">
      <c r="A36" s="213">
        <v>10</v>
      </c>
      <c r="B36" s="225" t="s">
        <v>105</v>
      </c>
      <c r="C36" s="225" t="s">
        <v>106</v>
      </c>
      <c r="D36" s="213" t="s">
        <v>107</v>
      </c>
      <c r="E36" s="213" t="s">
        <v>89</v>
      </c>
      <c r="F36" s="214">
        <v>45231</v>
      </c>
      <c r="G36" s="214">
        <v>45596</v>
      </c>
      <c r="H36" s="214">
        <v>45597</v>
      </c>
      <c r="I36" s="214">
        <v>45961</v>
      </c>
      <c r="J36" s="190">
        <f t="shared" si="0"/>
        <v>46017</v>
      </c>
      <c r="K36" s="183">
        <f t="shared" si="1"/>
        <v>46051</v>
      </c>
      <c r="L36" s="184">
        <f t="shared" si="2"/>
        <v>46081</v>
      </c>
      <c r="M36" s="188">
        <f t="shared" si="3"/>
        <v>364</v>
      </c>
      <c r="N36" s="215">
        <f t="shared" si="4"/>
        <v>12.133333333333333</v>
      </c>
      <c r="O36" s="192"/>
    </row>
    <row r="37" spans="1:15" ht="12.75" customHeight="1" x14ac:dyDescent="0.25">
      <c r="A37" s="213">
        <v>10</v>
      </c>
      <c r="B37" s="225" t="s">
        <v>108</v>
      </c>
      <c r="C37" s="225" t="s">
        <v>109</v>
      </c>
      <c r="D37" s="213" t="s">
        <v>110</v>
      </c>
      <c r="E37" s="213" t="s">
        <v>29</v>
      </c>
      <c r="F37" s="214">
        <v>45231</v>
      </c>
      <c r="G37" s="214">
        <v>45596</v>
      </c>
      <c r="H37" s="214">
        <v>45597</v>
      </c>
      <c r="I37" s="214">
        <v>45961</v>
      </c>
      <c r="J37" s="190">
        <f t="shared" si="0"/>
        <v>46017</v>
      </c>
      <c r="K37" s="183">
        <f t="shared" si="1"/>
        <v>46051</v>
      </c>
      <c r="L37" s="184">
        <f t="shared" si="2"/>
        <v>46081</v>
      </c>
      <c r="M37" s="188">
        <f t="shared" si="3"/>
        <v>364</v>
      </c>
      <c r="N37" s="215">
        <f t="shared" si="4"/>
        <v>12.133333333333333</v>
      </c>
      <c r="O37" s="192"/>
    </row>
    <row r="38" spans="1:15" ht="12.75" customHeight="1" x14ac:dyDescent="0.25">
      <c r="A38" s="213">
        <v>10</v>
      </c>
      <c r="B38" s="225" t="s">
        <v>111</v>
      </c>
      <c r="C38" s="225">
        <v>40434</v>
      </c>
      <c r="D38" s="213" t="s">
        <v>112</v>
      </c>
      <c r="E38" s="213" t="s">
        <v>17</v>
      </c>
      <c r="F38" s="214">
        <v>45231</v>
      </c>
      <c r="G38" s="214">
        <v>45596</v>
      </c>
      <c r="H38" s="214">
        <v>45597</v>
      </c>
      <c r="I38" s="214">
        <v>45961</v>
      </c>
      <c r="J38" s="190">
        <f t="shared" si="0"/>
        <v>46017</v>
      </c>
      <c r="K38" s="183">
        <f t="shared" si="1"/>
        <v>46051</v>
      </c>
      <c r="L38" s="184">
        <f t="shared" si="2"/>
        <v>46081</v>
      </c>
      <c r="M38" s="188">
        <f t="shared" si="3"/>
        <v>364</v>
      </c>
      <c r="N38" s="215">
        <f t="shared" si="4"/>
        <v>12.133333333333333</v>
      </c>
      <c r="O38" s="192"/>
    </row>
    <row r="40" spans="1:15" ht="12.75" customHeight="1" x14ac:dyDescent="0.25">
      <c r="A40" s="13">
        <v>3</v>
      </c>
      <c r="B40" s="14" t="s">
        <v>115</v>
      </c>
      <c r="C40" s="15" t="s">
        <v>116</v>
      </c>
      <c r="D40" s="16" t="s">
        <v>117</v>
      </c>
      <c r="E40" s="16" t="s">
        <v>118</v>
      </c>
      <c r="F40" s="27" t="s">
        <v>114</v>
      </c>
      <c r="G40" s="27" t="s">
        <v>114</v>
      </c>
      <c r="H40" s="17">
        <v>45383</v>
      </c>
      <c r="I40" s="17">
        <v>45747</v>
      </c>
      <c r="J40" s="5">
        <f>I40+56</f>
        <v>45803</v>
      </c>
      <c r="K40" s="6">
        <f>I40+90</f>
        <v>45837</v>
      </c>
      <c r="L40" s="7">
        <f>I40+120</f>
        <v>45867</v>
      </c>
      <c r="M40" s="4">
        <f>I40-H40</f>
        <v>364</v>
      </c>
      <c r="N40" s="18">
        <f>M40/30</f>
        <v>12.133333333333333</v>
      </c>
      <c r="O40" s="8" t="s">
        <v>169</v>
      </c>
    </row>
  </sheetData>
  <mergeCells count="1">
    <mergeCell ref="F1:G1"/>
  </mergeCells>
  <pageMargins left="0.23622047244094491" right="0.23622047244094491" top="0.74803149606299213" bottom="0.74803149606299213" header="0.31496062992125984" footer="0.31496062992125984"/>
  <pageSetup fitToWidth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Y21"/>
  <sheetViews>
    <sheetView workbookViewId="0">
      <selection activeCell="F2" sqref="D2:G3"/>
    </sheetView>
  </sheetViews>
  <sheetFormatPr defaultColWidth="9.140625" defaultRowHeight="15" x14ac:dyDescent="0.25"/>
  <cols>
    <col min="1" max="1" width="12.5703125" customWidth="1"/>
    <col min="2" max="2" width="39.28515625" customWidth="1"/>
    <col min="3" max="3" width="22" customWidth="1"/>
    <col min="4" max="4" width="18.140625" customWidth="1"/>
    <col min="5" max="5" width="14.42578125" customWidth="1"/>
    <col min="6" max="6" width="15.140625" customWidth="1"/>
    <col min="7" max="7" width="14.28515625" customWidth="1"/>
    <col min="9" max="9" width="10.5703125" bestFit="1" customWidth="1"/>
    <col min="10" max="10" width="14.42578125" customWidth="1"/>
    <col min="12" max="12" width="10.42578125" bestFit="1" customWidth="1"/>
    <col min="13" max="13" width="13.5703125" customWidth="1"/>
    <col min="14" max="14" width="15.42578125" customWidth="1"/>
    <col min="15" max="15" width="17" customWidth="1"/>
    <col min="16" max="16" width="14.85546875" customWidth="1"/>
    <col min="17" max="17" width="16.85546875" customWidth="1"/>
  </cols>
  <sheetData>
    <row r="1" spans="1:25" ht="22.5" customHeight="1" thickBot="1" x14ac:dyDescent="0.3">
      <c r="A1" s="37"/>
      <c r="B1" s="36" t="s">
        <v>147</v>
      </c>
      <c r="C1" s="35"/>
      <c r="D1" s="247"/>
      <c r="E1" s="248"/>
      <c r="F1" s="247"/>
      <c r="G1" s="248"/>
    </row>
    <row r="2" spans="1:25" ht="46.5" customHeight="1" thickBot="1" x14ac:dyDescent="0.3">
      <c r="A2" s="49"/>
      <c r="B2" s="28" t="s">
        <v>120</v>
      </c>
      <c r="C2" s="29" t="s">
        <v>13</v>
      </c>
      <c r="D2" s="237" t="s">
        <v>16</v>
      </c>
      <c r="E2" s="238"/>
      <c r="F2" s="237" t="s">
        <v>20</v>
      </c>
      <c r="G2" s="238"/>
    </row>
    <row r="3" spans="1:25" ht="47.25" customHeight="1" thickBot="1" x14ac:dyDescent="0.3">
      <c r="A3" s="50"/>
      <c r="B3" s="30" t="s">
        <v>121</v>
      </c>
      <c r="C3" s="31" t="s">
        <v>12</v>
      </c>
      <c r="D3" s="239" t="s">
        <v>149</v>
      </c>
      <c r="E3" s="240"/>
      <c r="F3" s="237">
        <v>40400</v>
      </c>
      <c r="G3" s="238"/>
      <c r="I3" s="44"/>
      <c r="J3" s="52"/>
      <c r="K3" s="52"/>
      <c r="L3" s="52"/>
      <c r="M3" s="52"/>
      <c r="N3" s="52"/>
      <c r="O3" s="52"/>
      <c r="P3" s="52"/>
      <c r="Q3" s="52"/>
    </row>
    <row r="4" spans="1:25" ht="32.25" customHeight="1" thickBot="1" x14ac:dyDescent="0.3">
      <c r="A4" s="32">
        <v>1</v>
      </c>
      <c r="B4" s="51" t="s">
        <v>122</v>
      </c>
      <c r="C4" s="38" t="s">
        <v>123</v>
      </c>
      <c r="D4" s="241" t="s">
        <v>123</v>
      </c>
      <c r="E4" s="242"/>
      <c r="F4" s="241" t="s">
        <v>123</v>
      </c>
      <c r="G4" s="242"/>
      <c r="I4" s="44"/>
      <c r="J4" s="52"/>
      <c r="K4" s="52"/>
      <c r="L4" s="52"/>
      <c r="M4" s="52"/>
      <c r="N4" s="52"/>
      <c r="O4" s="52"/>
      <c r="P4" s="52"/>
      <c r="Q4" s="52"/>
    </row>
    <row r="5" spans="1:25" ht="60.75" customHeight="1" thickBot="1" x14ac:dyDescent="0.3">
      <c r="A5" s="32">
        <v>2</v>
      </c>
      <c r="B5" s="51" t="s">
        <v>124</v>
      </c>
      <c r="C5" s="34" t="s">
        <v>155</v>
      </c>
      <c r="D5" s="48" t="s">
        <v>153</v>
      </c>
      <c r="E5" s="77" t="s">
        <v>154</v>
      </c>
      <c r="F5" s="48" t="s">
        <v>153</v>
      </c>
      <c r="G5" s="77" t="s">
        <v>154</v>
      </c>
      <c r="J5" s="52"/>
      <c r="K5" s="52"/>
      <c r="L5" s="52"/>
      <c r="M5" s="52"/>
      <c r="N5" s="52"/>
      <c r="O5" s="53"/>
      <c r="P5" s="53"/>
      <c r="Q5" s="53"/>
    </row>
    <row r="6" spans="1:25" ht="44.25" customHeight="1" thickBot="1" x14ac:dyDescent="0.3">
      <c r="A6" s="32">
        <v>3</v>
      </c>
      <c r="B6" s="51" t="s">
        <v>126</v>
      </c>
      <c r="C6" s="34" t="s">
        <v>127</v>
      </c>
      <c r="D6" s="243" t="s">
        <v>127</v>
      </c>
      <c r="E6" s="244"/>
      <c r="F6" s="243" t="s">
        <v>127</v>
      </c>
      <c r="G6" s="244"/>
      <c r="J6" s="54"/>
      <c r="K6" s="54"/>
      <c r="L6" s="54"/>
      <c r="M6" s="54"/>
      <c r="N6" s="54"/>
      <c r="O6" s="47"/>
      <c r="P6" s="47"/>
      <c r="Q6" s="47"/>
    </row>
    <row r="7" spans="1:25" ht="48" customHeight="1" thickBot="1" x14ac:dyDescent="0.3">
      <c r="A7" s="32">
        <v>4</v>
      </c>
      <c r="B7" s="51" t="s">
        <v>128</v>
      </c>
      <c r="C7" s="34" t="s">
        <v>129</v>
      </c>
      <c r="D7" s="243" t="s">
        <v>129</v>
      </c>
      <c r="E7" s="244"/>
      <c r="F7" s="243" t="s">
        <v>129</v>
      </c>
      <c r="G7" s="244"/>
      <c r="J7" s="54"/>
      <c r="K7" s="54"/>
      <c r="L7" s="54"/>
      <c r="M7" s="54"/>
      <c r="N7" s="54"/>
      <c r="O7" s="47"/>
      <c r="P7" s="47"/>
      <c r="Q7" s="47"/>
    </row>
    <row r="8" spans="1:25" ht="45" customHeight="1" thickBot="1" x14ac:dyDescent="0.3">
      <c r="A8" s="32">
        <v>5</v>
      </c>
      <c r="B8" s="51" t="s">
        <v>130</v>
      </c>
      <c r="C8" s="34" t="s">
        <v>129</v>
      </c>
      <c r="D8" s="243" t="s">
        <v>129</v>
      </c>
      <c r="E8" s="244"/>
      <c r="F8" s="243" t="s">
        <v>129</v>
      </c>
      <c r="G8" s="244"/>
      <c r="H8" s="40" t="s">
        <v>148</v>
      </c>
      <c r="J8" s="55"/>
      <c r="K8" s="55"/>
      <c r="L8" s="55"/>
      <c r="M8" s="55"/>
      <c r="N8" s="55"/>
      <c r="O8" s="47"/>
      <c r="P8" s="47"/>
      <c r="Q8" s="47"/>
      <c r="R8" s="52"/>
      <c r="S8" s="52"/>
      <c r="T8" s="52"/>
      <c r="U8" s="52"/>
      <c r="V8" s="52"/>
      <c r="W8" s="52"/>
      <c r="X8" s="52"/>
      <c r="Y8" s="52"/>
    </row>
    <row r="9" spans="1:25" ht="25.5" customHeight="1" thickBot="1" x14ac:dyDescent="0.3">
      <c r="A9" s="32">
        <v>6</v>
      </c>
      <c r="B9" s="51" t="s">
        <v>131</v>
      </c>
      <c r="C9" s="34" t="s">
        <v>132</v>
      </c>
      <c r="D9" s="243" t="s">
        <v>132</v>
      </c>
      <c r="E9" s="244"/>
      <c r="F9" s="243" t="s">
        <v>132</v>
      </c>
      <c r="G9" s="244"/>
      <c r="R9" s="52"/>
      <c r="S9" s="52"/>
      <c r="T9" s="52"/>
      <c r="U9" s="52"/>
      <c r="V9" s="52"/>
      <c r="W9" s="52"/>
      <c r="X9" s="52"/>
      <c r="Y9" s="52"/>
    </row>
    <row r="10" spans="1:25" ht="30" customHeight="1" thickBot="1" x14ac:dyDescent="0.3">
      <c r="A10" s="32">
        <v>7</v>
      </c>
      <c r="B10" s="51" t="s">
        <v>133</v>
      </c>
      <c r="C10" s="34" t="s">
        <v>127</v>
      </c>
      <c r="D10" s="243" t="s">
        <v>127</v>
      </c>
      <c r="E10" s="244"/>
      <c r="F10" s="243" t="s">
        <v>127</v>
      </c>
      <c r="G10" s="244"/>
      <c r="R10" s="52"/>
      <c r="S10" s="52"/>
      <c r="T10" s="52"/>
      <c r="U10" s="52"/>
      <c r="V10" s="52"/>
      <c r="W10" s="53"/>
      <c r="X10" s="53"/>
      <c r="Y10" s="53"/>
    </row>
    <row r="11" spans="1:25" ht="36.75" customHeight="1" thickBot="1" x14ac:dyDescent="0.3">
      <c r="A11" s="32">
        <v>8</v>
      </c>
      <c r="B11" s="51" t="s">
        <v>134</v>
      </c>
      <c r="C11" s="34" t="s">
        <v>127</v>
      </c>
      <c r="D11" s="251" t="s">
        <v>127</v>
      </c>
      <c r="E11" s="252"/>
      <c r="F11" s="243" t="s">
        <v>127</v>
      </c>
      <c r="G11" s="244"/>
      <c r="R11" s="54"/>
      <c r="S11" s="54"/>
      <c r="T11" s="54"/>
      <c r="U11" s="54"/>
      <c r="V11" s="54"/>
      <c r="W11" s="47"/>
      <c r="X11" s="47"/>
      <c r="Y11" s="47"/>
    </row>
    <row r="12" spans="1:25" ht="38.25" customHeight="1" thickBot="1" x14ac:dyDescent="0.3">
      <c r="A12" s="32">
        <v>9</v>
      </c>
      <c r="B12" s="51" t="s">
        <v>135</v>
      </c>
      <c r="C12" s="33" t="s">
        <v>127</v>
      </c>
      <c r="D12" s="249" t="s">
        <v>127</v>
      </c>
      <c r="E12" s="250"/>
      <c r="F12" s="249" t="s">
        <v>127</v>
      </c>
      <c r="G12" s="250"/>
      <c r="R12" s="54"/>
      <c r="S12" s="54"/>
      <c r="T12" s="54"/>
      <c r="U12" s="54"/>
      <c r="V12" s="54"/>
      <c r="W12" s="47"/>
      <c r="X12" s="47"/>
      <c r="Y12" s="47"/>
    </row>
    <row r="13" spans="1:25" ht="27.75" customHeight="1" thickBot="1" x14ac:dyDescent="0.3">
      <c r="A13" s="32">
        <v>10</v>
      </c>
      <c r="B13" s="51" t="s">
        <v>136</v>
      </c>
      <c r="C13" s="33" t="s">
        <v>127</v>
      </c>
      <c r="D13" s="249" t="s">
        <v>127</v>
      </c>
      <c r="E13" s="250"/>
      <c r="F13" s="249" t="s">
        <v>127</v>
      </c>
      <c r="G13" s="250"/>
      <c r="R13" s="55"/>
      <c r="S13" s="55"/>
      <c r="T13" s="55"/>
      <c r="U13" s="55"/>
      <c r="V13" s="55"/>
      <c r="W13" s="47"/>
      <c r="X13" s="47"/>
      <c r="Y13" s="47"/>
    </row>
    <row r="14" spans="1:25" ht="32.25" customHeight="1" thickBot="1" x14ac:dyDescent="0.3">
      <c r="A14" s="32">
        <v>11</v>
      </c>
      <c r="B14" s="51" t="s">
        <v>137</v>
      </c>
      <c r="C14" s="34" t="s">
        <v>132</v>
      </c>
      <c r="D14" s="235" t="s">
        <v>132</v>
      </c>
      <c r="E14" s="236"/>
      <c r="F14" s="235" t="s">
        <v>132</v>
      </c>
      <c r="G14" s="236"/>
      <c r="I14" s="55"/>
      <c r="J14" s="55"/>
      <c r="K14" s="55"/>
      <c r="L14" s="55"/>
      <c r="M14" s="55"/>
      <c r="N14" s="47"/>
      <c r="O14" s="47"/>
      <c r="P14" s="47"/>
    </row>
    <row r="15" spans="1:25" ht="33" customHeight="1" thickBot="1" x14ac:dyDescent="0.3">
      <c r="A15" s="32">
        <v>12</v>
      </c>
      <c r="B15" s="51" t="s">
        <v>138</v>
      </c>
      <c r="C15" s="34" t="s">
        <v>139</v>
      </c>
      <c r="D15" s="235" t="s">
        <v>139</v>
      </c>
      <c r="E15" s="236"/>
      <c r="F15" s="235" t="s">
        <v>139</v>
      </c>
      <c r="G15" s="236"/>
    </row>
    <row r="16" spans="1:25" ht="31.5" customHeight="1" thickBot="1" x14ac:dyDescent="0.3">
      <c r="A16" s="32">
        <v>13</v>
      </c>
      <c r="B16" s="51" t="s">
        <v>140</v>
      </c>
      <c r="C16" s="34" t="s">
        <v>127</v>
      </c>
      <c r="D16" s="243" t="s">
        <v>127</v>
      </c>
      <c r="E16" s="244"/>
      <c r="F16" s="243" t="s">
        <v>127</v>
      </c>
      <c r="G16" s="244"/>
    </row>
    <row r="17" spans="1:7" ht="15.75" thickBot="1" x14ac:dyDescent="0.3">
      <c r="A17" s="32">
        <v>14</v>
      </c>
      <c r="B17" s="51" t="s">
        <v>141</v>
      </c>
      <c r="C17" s="34" t="s">
        <v>129</v>
      </c>
      <c r="D17" s="243" t="s">
        <v>129</v>
      </c>
      <c r="E17" s="244"/>
      <c r="F17" s="243" t="s">
        <v>129</v>
      </c>
      <c r="G17" s="244"/>
    </row>
    <row r="18" spans="1:7" ht="55.5" customHeight="1" thickBot="1" x14ac:dyDescent="0.3">
      <c r="A18" s="32">
        <v>15</v>
      </c>
      <c r="B18" s="51" t="s">
        <v>142</v>
      </c>
      <c r="C18" s="34" t="s">
        <v>129</v>
      </c>
      <c r="D18" s="243" t="s">
        <v>129</v>
      </c>
      <c r="E18" s="244"/>
      <c r="F18" s="243" t="s">
        <v>129</v>
      </c>
      <c r="G18" s="244"/>
    </row>
    <row r="19" spans="1:7" ht="33.75" customHeight="1" thickBot="1" x14ac:dyDescent="0.3">
      <c r="A19" s="32">
        <v>16</v>
      </c>
      <c r="B19" s="51" t="s">
        <v>143</v>
      </c>
      <c r="C19" s="34" t="s">
        <v>127</v>
      </c>
      <c r="D19" s="243" t="s">
        <v>127</v>
      </c>
      <c r="E19" s="244"/>
      <c r="F19" s="243" t="s">
        <v>127</v>
      </c>
      <c r="G19" s="244"/>
    </row>
    <row r="20" spans="1:7" ht="36.75" customHeight="1" thickBot="1" x14ac:dyDescent="0.3">
      <c r="A20" s="32">
        <v>17</v>
      </c>
      <c r="B20" s="51" t="s">
        <v>144</v>
      </c>
      <c r="C20" s="34" t="s">
        <v>123</v>
      </c>
      <c r="D20" s="243" t="s">
        <v>123</v>
      </c>
      <c r="E20" s="244"/>
      <c r="F20" s="243" t="s">
        <v>123</v>
      </c>
      <c r="G20" s="244"/>
    </row>
    <row r="21" spans="1:7" ht="72" customHeight="1" thickBot="1" x14ac:dyDescent="0.3">
      <c r="A21" s="32">
        <v>18</v>
      </c>
      <c r="B21" s="51" t="s">
        <v>145</v>
      </c>
      <c r="C21" s="39" t="s">
        <v>146</v>
      </c>
      <c r="D21" s="245" t="s">
        <v>146</v>
      </c>
      <c r="E21" s="246"/>
      <c r="F21" s="245" t="s">
        <v>146</v>
      </c>
      <c r="G21" s="246"/>
    </row>
  </sheetData>
  <mergeCells count="40">
    <mergeCell ref="F21:G21"/>
    <mergeCell ref="F15:G15"/>
    <mergeCell ref="F16:G16"/>
    <mergeCell ref="F17:G17"/>
    <mergeCell ref="F18:G18"/>
    <mergeCell ref="F19:G19"/>
    <mergeCell ref="F20:G20"/>
    <mergeCell ref="F11:G11"/>
    <mergeCell ref="D1:E1"/>
    <mergeCell ref="F1:G1"/>
    <mergeCell ref="F12:G12"/>
    <mergeCell ref="F13:G13"/>
    <mergeCell ref="D9:E9"/>
    <mergeCell ref="D10:E10"/>
    <mergeCell ref="D11:E11"/>
    <mergeCell ref="D12:E12"/>
    <mergeCell ref="D13:E13"/>
    <mergeCell ref="F14:G14"/>
    <mergeCell ref="D21:E21"/>
    <mergeCell ref="F3:G3"/>
    <mergeCell ref="F4:G4"/>
    <mergeCell ref="F2:G2"/>
    <mergeCell ref="F6:G6"/>
    <mergeCell ref="F7:G7"/>
    <mergeCell ref="F8:G8"/>
    <mergeCell ref="F9:G9"/>
    <mergeCell ref="F10:G10"/>
    <mergeCell ref="D15:E15"/>
    <mergeCell ref="D16:E16"/>
    <mergeCell ref="D17:E17"/>
    <mergeCell ref="D18:E18"/>
    <mergeCell ref="D19:E19"/>
    <mergeCell ref="D20:E20"/>
    <mergeCell ref="D14:E14"/>
    <mergeCell ref="D2:E2"/>
    <mergeCell ref="D3:E3"/>
    <mergeCell ref="D4:E4"/>
    <mergeCell ref="D6:E6"/>
    <mergeCell ref="D7:E7"/>
    <mergeCell ref="D8:E8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P28"/>
  <sheetViews>
    <sheetView workbookViewId="0">
      <selection sqref="A1:G1"/>
    </sheetView>
  </sheetViews>
  <sheetFormatPr defaultColWidth="9.140625" defaultRowHeight="15" x14ac:dyDescent="0.25"/>
  <cols>
    <col min="1" max="1" width="6.7109375" bestFit="1" customWidth="1"/>
    <col min="2" max="2" width="26.140625" style="41" customWidth="1"/>
    <col min="3" max="3" width="18.7109375" bestFit="1" customWidth="1"/>
    <col min="4" max="4" width="19.140625" bestFit="1" customWidth="1"/>
    <col min="5" max="5" width="10.5703125" customWidth="1"/>
    <col min="6" max="6" width="11.42578125" customWidth="1"/>
    <col min="7" max="7" width="19.140625" customWidth="1"/>
    <col min="8" max="8" width="20.28515625" bestFit="1" customWidth="1"/>
    <col min="10" max="10" width="17.85546875" customWidth="1"/>
    <col min="11" max="11" width="25.28515625" customWidth="1"/>
    <col min="12" max="12" width="13.28515625" customWidth="1"/>
    <col min="13" max="13" width="14" customWidth="1"/>
    <col min="14" max="14" width="10.7109375" customWidth="1"/>
    <col min="15" max="15" width="8.85546875" customWidth="1"/>
    <col min="16" max="16" width="11.7109375" customWidth="1"/>
  </cols>
  <sheetData>
    <row r="1" spans="1:16" x14ac:dyDescent="0.25">
      <c r="A1" s="273" t="s">
        <v>179</v>
      </c>
      <c r="B1" s="273"/>
      <c r="C1" s="273"/>
      <c r="D1" s="273"/>
      <c r="E1" s="273"/>
      <c r="F1" s="273"/>
      <c r="G1" s="273"/>
    </row>
    <row r="2" spans="1:16" ht="15" customHeight="1" thickBot="1" x14ac:dyDescent="0.3">
      <c r="A2" s="76"/>
      <c r="B2" s="63" t="s">
        <v>147</v>
      </c>
      <c r="C2" s="269" t="s">
        <v>166</v>
      </c>
      <c r="D2" s="270"/>
      <c r="E2" s="270"/>
      <c r="F2" s="270"/>
      <c r="G2" s="271"/>
    </row>
    <row r="3" spans="1:16" ht="15.75" thickBot="1" x14ac:dyDescent="0.3">
      <c r="A3" s="56"/>
      <c r="B3" s="57" t="s">
        <v>120</v>
      </c>
      <c r="C3" s="65" t="s">
        <v>22</v>
      </c>
      <c r="D3" s="65" t="s">
        <v>26</v>
      </c>
      <c r="E3" s="265" t="s">
        <v>31</v>
      </c>
      <c r="F3" s="266"/>
      <c r="G3" s="65" t="s">
        <v>28</v>
      </c>
    </row>
    <row r="4" spans="1:16" ht="28.5" customHeight="1" thickBot="1" x14ac:dyDescent="0.3">
      <c r="A4" s="58"/>
      <c r="B4" s="59" t="s">
        <v>121</v>
      </c>
      <c r="C4" s="65" t="s">
        <v>151</v>
      </c>
      <c r="D4" s="65" t="s">
        <v>25</v>
      </c>
      <c r="E4" s="265">
        <v>44000</v>
      </c>
      <c r="F4" s="266"/>
      <c r="G4" s="65" t="s">
        <v>160</v>
      </c>
    </row>
    <row r="5" spans="1:16" ht="15.75" thickBot="1" x14ac:dyDescent="0.3">
      <c r="A5" s="60">
        <v>1</v>
      </c>
      <c r="B5" s="61" t="s">
        <v>122</v>
      </c>
      <c r="C5" s="64" t="s">
        <v>123</v>
      </c>
      <c r="D5" s="64" t="s">
        <v>123</v>
      </c>
      <c r="E5" s="275" t="s">
        <v>123</v>
      </c>
      <c r="F5" s="276"/>
      <c r="G5" s="116" t="s">
        <v>123</v>
      </c>
      <c r="H5" s="75"/>
    </row>
    <row r="6" spans="1:16" ht="33.75" customHeight="1" thickBot="1" x14ac:dyDescent="0.3">
      <c r="A6" s="255">
        <v>2</v>
      </c>
      <c r="B6" s="257" t="s">
        <v>124</v>
      </c>
      <c r="C6" s="253" t="s">
        <v>156</v>
      </c>
      <c r="D6" s="259" t="s">
        <v>157</v>
      </c>
      <c r="E6" s="261" t="s">
        <v>154</v>
      </c>
      <c r="F6" s="261" t="s">
        <v>178</v>
      </c>
      <c r="G6" s="64" t="s">
        <v>159</v>
      </c>
      <c r="H6" s="74"/>
      <c r="J6" s="1" t="s">
        <v>1</v>
      </c>
      <c r="K6" s="2" t="s">
        <v>2</v>
      </c>
      <c r="L6" s="1" t="s">
        <v>3</v>
      </c>
      <c r="M6" s="1" t="s">
        <v>4</v>
      </c>
      <c r="N6" s="1" t="s">
        <v>5</v>
      </c>
      <c r="O6" s="1" t="s">
        <v>6</v>
      </c>
      <c r="P6" s="3" t="s">
        <v>7</v>
      </c>
    </row>
    <row r="7" spans="1:16" ht="30" customHeight="1" thickBot="1" x14ac:dyDescent="0.3">
      <c r="A7" s="256"/>
      <c r="B7" s="258"/>
      <c r="C7" s="254"/>
      <c r="D7" s="260"/>
      <c r="E7" s="262"/>
      <c r="F7" s="262"/>
      <c r="G7" s="64" t="s">
        <v>154</v>
      </c>
      <c r="H7" s="74"/>
      <c r="J7" s="1"/>
      <c r="K7" s="2"/>
      <c r="L7" s="1"/>
      <c r="M7" s="1"/>
      <c r="N7" s="1"/>
      <c r="O7" s="1"/>
      <c r="P7" s="3"/>
    </row>
    <row r="8" spans="1:16" ht="28.5" customHeight="1" thickBot="1" x14ac:dyDescent="0.3">
      <c r="A8" s="60">
        <v>3</v>
      </c>
      <c r="B8" s="61" t="s">
        <v>126</v>
      </c>
      <c r="C8" s="64" t="s">
        <v>127</v>
      </c>
      <c r="D8" s="62" t="s">
        <v>127</v>
      </c>
      <c r="E8" s="277" t="s">
        <v>127</v>
      </c>
      <c r="F8" s="278"/>
      <c r="G8" s="117" t="s">
        <v>127</v>
      </c>
      <c r="H8" s="74"/>
      <c r="J8" s="9" t="s">
        <v>21</v>
      </c>
      <c r="K8" s="10" t="s">
        <v>151</v>
      </c>
      <c r="L8" s="11" t="s">
        <v>22</v>
      </c>
      <c r="M8" s="11" t="s">
        <v>23</v>
      </c>
      <c r="N8" s="12">
        <v>44986</v>
      </c>
      <c r="O8" s="12">
        <v>45351</v>
      </c>
      <c r="P8" s="5">
        <f>O8+56</f>
        <v>45407</v>
      </c>
    </row>
    <row r="9" spans="1:16" ht="15.75" thickBot="1" x14ac:dyDescent="0.3">
      <c r="A9" s="60">
        <v>4</v>
      </c>
      <c r="B9" s="61" t="s">
        <v>128</v>
      </c>
      <c r="C9" s="64" t="s">
        <v>129</v>
      </c>
      <c r="D9" s="64" t="s">
        <v>129</v>
      </c>
      <c r="E9" s="267" t="s">
        <v>129</v>
      </c>
      <c r="F9" s="268"/>
      <c r="G9" s="64" t="s">
        <v>129</v>
      </c>
      <c r="H9" s="74"/>
      <c r="J9" s="9" t="s">
        <v>24</v>
      </c>
      <c r="K9" s="10" t="s">
        <v>25</v>
      </c>
      <c r="L9" s="11" t="s">
        <v>26</v>
      </c>
      <c r="M9" s="11" t="s">
        <v>17</v>
      </c>
      <c r="N9" s="12">
        <v>44986</v>
      </c>
      <c r="O9" s="12">
        <v>45351</v>
      </c>
      <c r="P9" s="5">
        <f>O9+56</f>
        <v>45407</v>
      </c>
    </row>
    <row r="10" spans="1:16" ht="34.5" thickBot="1" x14ac:dyDescent="0.3">
      <c r="A10" s="60">
        <v>5</v>
      </c>
      <c r="B10" s="61" t="s">
        <v>130</v>
      </c>
      <c r="C10" s="64" t="s">
        <v>129</v>
      </c>
      <c r="D10" s="64" t="s">
        <v>129</v>
      </c>
      <c r="E10" s="267" t="s">
        <v>129</v>
      </c>
      <c r="F10" s="268"/>
      <c r="G10" s="64" t="s">
        <v>129</v>
      </c>
      <c r="H10" s="74" t="s">
        <v>165</v>
      </c>
      <c r="J10" s="9" t="s">
        <v>27</v>
      </c>
      <c r="K10" s="10" t="s">
        <v>152</v>
      </c>
      <c r="L10" s="11" t="s">
        <v>150</v>
      </c>
      <c r="M10" s="11" t="s">
        <v>29</v>
      </c>
      <c r="N10" s="12">
        <v>44986</v>
      </c>
      <c r="O10" s="12">
        <v>45351</v>
      </c>
      <c r="P10" s="5">
        <f>O10+56</f>
        <v>45407</v>
      </c>
    </row>
    <row r="11" spans="1:16" ht="15.75" thickBot="1" x14ac:dyDescent="0.3">
      <c r="A11" s="60">
        <v>6</v>
      </c>
      <c r="B11" s="61" t="s">
        <v>131</v>
      </c>
      <c r="C11" s="64" t="s">
        <v>132</v>
      </c>
      <c r="D11" s="64" t="s">
        <v>132</v>
      </c>
      <c r="E11" s="267" t="s">
        <v>132</v>
      </c>
      <c r="F11" s="268"/>
      <c r="G11" s="64" t="s">
        <v>132</v>
      </c>
      <c r="H11" s="72"/>
      <c r="J11" s="9" t="s">
        <v>30</v>
      </c>
      <c r="K11" s="10">
        <v>44000</v>
      </c>
      <c r="L11" s="11" t="s">
        <v>31</v>
      </c>
      <c r="M11" s="11" t="s">
        <v>29</v>
      </c>
      <c r="N11" s="12">
        <v>44986</v>
      </c>
      <c r="O11" s="12">
        <v>45351</v>
      </c>
      <c r="P11" s="5">
        <f>O11+56</f>
        <v>45407</v>
      </c>
    </row>
    <row r="12" spans="1:16" ht="15.75" thickBot="1" x14ac:dyDescent="0.3">
      <c r="A12" s="60">
        <v>7</v>
      </c>
      <c r="B12" s="61" t="s">
        <v>133</v>
      </c>
      <c r="C12" s="64" t="s">
        <v>127</v>
      </c>
      <c r="D12" s="64" t="s">
        <v>127</v>
      </c>
      <c r="E12" s="267" t="s">
        <v>127</v>
      </c>
      <c r="F12" s="268"/>
      <c r="G12" s="64" t="s">
        <v>127</v>
      </c>
      <c r="H12" s="73"/>
      <c r="J12" s="44"/>
    </row>
    <row r="13" spans="1:16" ht="15.75" thickBot="1" x14ac:dyDescent="0.3">
      <c r="A13" s="60">
        <v>8</v>
      </c>
      <c r="B13" s="61" t="s">
        <v>134</v>
      </c>
      <c r="C13" s="62" t="s">
        <v>127</v>
      </c>
      <c r="D13" s="62" t="s">
        <v>127</v>
      </c>
      <c r="E13" s="279" t="s">
        <v>127</v>
      </c>
      <c r="F13" s="280"/>
      <c r="G13" s="62" t="s">
        <v>127</v>
      </c>
      <c r="H13" s="73"/>
      <c r="J13" s="44"/>
    </row>
    <row r="14" spans="1:16" ht="15.75" thickBot="1" x14ac:dyDescent="0.3">
      <c r="A14" s="60">
        <v>9</v>
      </c>
      <c r="B14" s="61" t="s">
        <v>135</v>
      </c>
      <c r="C14" s="64" t="s">
        <v>127</v>
      </c>
      <c r="D14" s="64" t="s">
        <v>127</v>
      </c>
      <c r="E14" s="267" t="s">
        <v>127</v>
      </c>
      <c r="F14" s="268"/>
      <c r="G14" s="64" t="s">
        <v>127</v>
      </c>
      <c r="H14" s="73"/>
      <c r="J14" s="90"/>
      <c r="K14" s="85" t="s">
        <v>172</v>
      </c>
      <c r="L14" s="274" t="s">
        <v>166</v>
      </c>
      <c r="M14" s="274"/>
      <c r="N14" s="274"/>
      <c r="O14" s="274"/>
    </row>
    <row r="15" spans="1:16" ht="15.75" thickBot="1" x14ac:dyDescent="0.3">
      <c r="A15" s="60">
        <v>10</v>
      </c>
      <c r="B15" s="61" t="s">
        <v>136</v>
      </c>
      <c r="C15" s="64" t="s">
        <v>127</v>
      </c>
      <c r="D15" s="64" t="s">
        <v>127</v>
      </c>
      <c r="E15" s="267" t="s">
        <v>127</v>
      </c>
      <c r="F15" s="268"/>
      <c r="G15" s="64" t="s">
        <v>127</v>
      </c>
      <c r="H15" s="73"/>
      <c r="J15" s="91"/>
      <c r="K15" s="92" t="s">
        <v>120</v>
      </c>
      <c r="L15" s="88" t="s">
        <v>22</v>
      </c>
      <c r="M15" s="88" t="s">
        <v>26</v>
      </c>
      <c r="N15" s="88" t="s">
        <v>28</v>
      </c>
      <c r="O15" s="88" t="s">
        <v>31</v>
      </c>
    </row>
    <row r="16" spans="1:16" ht="23.25" thickBot="1" x14ac:dyDescent="0.3">
      <c r="A16" s="60">
        <v>11</v>
      </c>
      <c r="B16" s="61" t="s">
        <v>137</v>
      </c>
      <c r="C16" s="64" t="s">
        <v>132</v>
      </c>
      <c r="D16" s="64" t="s">
        <v>132</v>
      </c>
      <c r="E16" s="267" t="s">
        <v>132</v>
      </c>
      <c r="F16" s="268"/>
      <c r="G16" s="64" t="s">
        <v>132</v>
      </c>
      <c r="H16" s="73"/>
      <c r="J16" s="46"/>
      <c r="K16" s="45" t="s">
        <v>121</v>
      </c>
      <c r="L16" s="88" t="s">
        <v>151</v>
      </c>
      <c r="M16" s="88" t="s">
        <v>25</v>
      </c>
      <c r="N16" s="88" t="s">
        <v>160</v>
      </c>
      <c r="O16" s="88">
        <v>44000</v>
      </c>
    </row>
    <row r="17" spans="1:15" ht="45.75" thickBot="1" x14ac:dyDescent="0.3">
      <c r="A17" s="60">
        <v>12</v>
      </c>
      <c r="B17" s="61" t="s">
        <v>138</v>
      </c>
      <c r="C17" s="64" t="s">
        <v>139</v>
      </c>
      <c r="D17" s="64" t="s">
        <v>139</v>
      </c>
      <c r="E17" s="267" t="s">
        <v>139</v>
      </c>
      <c r="F17" s="268"/>
      <c r="G17" s="64" t="s">
        <v>139</v>
      </c>
      <c r="H17" s="73"/>
      <c r="J17" s="43">
        <v>2</v>
      </c>
      <c r="K17" s="42" t="s">
        <v>124</v>
      </c>
      <c r="L17" s="89" t="s">
        <v>156</v>
      </c>
      <c r="M17" s="78" t="s">
        <v>157</v>
      </c>
      <c r="N17" s="89" t="s">
        <v>158</v>
      </c>
      <c r="O17" s="89" t="s">
        <v>159</v>
      </c>
    </row>
    <row r="18" spans="1:15" ht="23.25" thickBot="1" x14ac:dyDescent="0.3">
      <c r="A18" s="60">
        <v>13</v>
      </c>
      <c r="B18" s="61" t="s">
        <v>140</v>
      </c>
      <c r="C18" s="64" t="s">
        <v>127</v>
      </c>
      <c r="D18" s="64" t="s">
        <v>127</v>
      </c>
      <c r="E18" s="267" t="s">
        <v>127</v>
      </c>
      <c r="F18" s="268"/>
      <c r="G18" s="64" t="s">
        <v>127</v>
      </c>
      <c r="H18" s="73" t="s">
        <v>165</v>
      </c>
      <c r="J18" s="43">
        <v>3</v>
      </c>
      <c r="K18" s="42" t="s">
        <v>126</v>
      </c>
      <c r="L18" s="89" t="s">
        <v>127</v>
      </c>
      <c r="M18" s="89" t="s">
        <v>127</v>
      </c>
      <c r="N18" s="89" t="s">
        <v>127</v>
      </c>
      <c r="O18" s="89" t="s">
        <v>127</v>
      </c>
    </row>
    <row r="19" spans="1:15" ht="15.75" thickBot="1" x14ac:dyDescent="0.3">
      <c r="A19" s="60">
        <v>14</v>
      </c>
      <c r="B19" s="61" t="s">
        <v>141</v>
      </c>
      <c r="C19" s="81" t="s">
        <v>129</v>
      </c>
      <c r="D19" s="64" t="s">
        <v>129</v>
      </c>
      <c r="E19" s="267" t="s">
        <v>129</v>
      </c>
      <c r="F19" s="268"/>
      <c r="G19" s="64" t="s">
        <v>129</v>
      </c>
      <c r="H19" s="73"/>
      <c r="J19" s="43">
        <v>8</v>
      </c>
      <c r="K19" s="42" t="s">
        <v>134</v>
      </c>
      <c r="L19" s="89" t="s">
        <v>127</v>
      </c>
      <c r="M19" s="89" t="s">
        <v>127</v>
      </c>
      <c r="N19" s="89" t="s">
        <v>127</v>
      </c>
      <c r="O19" s="89" t="s">
        <v>127</v>
      </c>
    </row>
    <row r="20" spans="1:15" ht="23.25" thickBot="1" x14ac:dyDescent="0.3">
      <c r="A20" s="60">
        <v>15</v>
      </c>
      <c r="B20" s="61" t="s">
        <v>142</v>
      </c>
      <c r="C20" s="64" t="s">
        <v>127</v>
      </c>
      <c r="D20" s="64" t="s">
        <v>127</v>
      </c>
      <c r="E20" s="267" t="s">
        <v>127</v>
      </c>
      <c r="F20" s="268"/>
      <c r="G20" s="64" t="s">
        <v>127</v>
      </c>
      <c r="H20" s="73"/>
    </row>
    <row r="21" spans="1:15" ht="15.75" thickBot="1" x14ac:dyDescent="0.3">
      <c r="A21" s="60">
        <v>16</v>
      </c>
      <c r="B21" s="61" t="s">
        <v>143</v>
      </c>
      <c r="C21" s="64" t="s">
        <v>127</v>
      </c>
      <c r="D21" s="64" t="s">
        <v>127</v>
      </c>
      <c r="E21" s="267" t="s">
        <v>127</v>
      </c>
      <c r="F21" s="268"/>
      <c r="G21" s="64" t="s">
        <v>127</v>
      </c>
      <c r="H21" s="73"/>
      <c r="J21" s="86"/>
      <c r="K21" s="87"/>
      <c r="L21" s="84"/>
      <c r="M21" s="84"/>
      <c r="N21" s="84"/>
      <c r="O21" s="84"/>
    </row>
    <row r="22" spans="1:15" ht="23.25" thickBot="1" x14ac:dyDescent="0.3">
      <c r="A22" s="60">
        <v>17</v>
      </c>
      <c r="B22" s="61" t="s">
        <v>144</v>
      </c>
      <c r="C22" s="64" t="s">
        <v>123</v>
      </c>
      <c r="D22" s="64" t="s">
        <v>123</v>
      </c>
      <c r="E22" s="267" t="s">
        <v>123</v>
      </c>
      <c r="F22" s="268"/>
      <c r="G22" s="64" t="s">
        <v>123</v>
      </c>
      <c r="H22" s="71"/>
      <c r="J22" s="86"/>
      <c r="K22" s="87"/>
      <c r="L22" s="84"/>
      <c r="M22" s="84"/>
      <c r="N22" s="84"/>
      <c r="O22" s="84"/>
    </row>
    <row r="23" spans="1:15" ht="35.25" customHeight="1" thickBot="1" x14ac:dyDescent="0.3">
      <c r="A23" s="60">
        <v>18</v>
      </c>
      <c r="B23" s="61" t="s">
        <v>145</v>
      </c>
      <c r="C23" s="77" t="s">
        <v>146</v>
      </c>
      <c r="D23" s="77" t="s">
        <v>146</v>
      </c>
      <c r="E23" s="263" t="s">
        <v>146</v>
      </c>
      <c r="F23" s="264"/>
      <c r="G23" s="77" t="s">
        <v>146</v>
      </c>
      <c r="H23" s="74"/>
      <c r="J23" s="86"/>
      <c r="K23" s="87"/>
      <c r="L23" s="84"/>
      <c r="M23" s="84"/>
      <c r="N23" s="84"/>
      <c r="O23" s="84"/>
    </row>
    <row r="24" spans="1:15" x14ac:dyDescent="0.25">
      <c r="B24" s="272"/>
      <c r="C24" s="272"/>
      <c r="D24" s="272"/>
      <c r="E24" s="272"/>
      <c r="F24" s="272"/>
    </row>
    <row r="25" spans="1:15" x14ac:dyDescent="0.25">
      <c r="G25" s="41"/>
    </row>
    <row r="26" spans="1:15" ht="15" customHeight="1" x14ac:dyDescent="0.25">
      <c r="G26" s="41"/>
    </row>
    <row r="28" spans="1:15" x14ac:dyDescent="0.25">
      <c r="B28" s="272"/>
      <c r="C28" s="272"/>
      <c r="D28" s="272"/>
      <c r="E28" s="272"/>
      <c r="F28" s="272"/>
    </row>
  </sheetData>
  <mergeCells count="30">
    <mergeCell ref="C2:G2"/>
    <mergeCell ref="B24:F24"/>
    <mergeCell ref="B28:F28"/>
    <mergeCell ref="A1:G1"/>
    <mergeCell ref="L14:O14"/>
    <mergeCell ref="E5:F5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F6:F7"/>
    <mergeCell ref="E23:F23"/>
    <mergeCell ref="E3:F3"/>
    <mergeCell ref="E4:F4"/>
    <mergeCell ref="E18:F18"/>
    <mergeCell ref="E19:F19"/>
    <mergeCell ref="E20:F20"/>
    <mergeCell ref="E21:F21"/>
    <mergeCell ref="E22:F22"/>
    <mergeCell ref="C6:C7"/>
    <mergeCell ref="A6:A7"/>
    <mergeCell ref="B6:B7"/>
    <mergeCell ref="D6:D7"/>
    <mergeCell ref="E6:E7"/>
  </mergeCells>
  <pageMargins left="0.23622047244094491" right="0.23622047244094491" top="0.74803149606299213" bottom="0.74803149606299213" header="0.31496062992125984" footer="0.31496062992125984"/>
  <pageSetup scale="42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O25"/>
  <sheetViews>
    <sheetView workbookViewId="0">
      <selection sqref="A1:F1"/>
    </sheetView>
  </sheetViews>
  <sheetFormatPr defaultColWidth="9.140625" defaultRowHeight="15" x14ac:dyDescent="0.25"/>
  <cols>
    <col min="1" max="1" width="6.7109375" bestFit="1" customWidth="1"/>
    <col min="2" max="2" width="23.85546875" style="41" bestFit="1" customWidth="1"/>
    <col min="3" max="3" width="18.7109375" customWidth="1"/>
    <col min="4" max="4" width="9.85546875" customWidth="1"/>
    <col min="5" max="5" width="10.140625" customWidth="1"/>
    <col min="6" max="6" width="11" customWidth="1"/>
    <col min="7" max="7" width="12.5703125" customWidth="1"/>
    <col min="8" max="8" width="22.5703125" customWidth="1"/>
    <col min="9" max="9" width="29.42578125" customWidth="1"/>
    <col min="10" max="10" width="26.42578125" bestFit="1" customWidth="1"/>
  </cols>
  <sheetData>
    <row r="1" spans="1:15" x14ac:dyDescent="0.25">
      <c r="A1" s="288" t="s">
        <v>175</v>
      </c>
      <c r="B1" s="289"/>
      <c r="C1" s="289"/>
      <c r="D1" s="289"/>
      <c r="E1" s="289"/>
      <c r="F1" s="289"/>
      <c r="G1" s="82"/>
    </row>
    <row r="2" spans="1:15" ht="15" customHeight="1" x14ac:dyDescent="0.25">
      <c r="A2" s="79"/>
      <c r="B2" s="80" t="s">
        <v>120</v>
      </c>
      <c r="C2" s="274" t="s">
        <v>167</v>
      </c>
      <c r="D2" s="274"/>
      <c r="E2" s="274"/>
      <c r="F2" s="287"/>
      <c r="G2" s="83"/>
    </row>
    <row r="3" spans="1:15" x14ac:dyDescent="0.25">
      <c r="A3" s="66"/>
      <c r="B3" s="67" t="s">
        <v>147</v>
      </c>
      <c r="C3" s="68" t="s">
        <v>33</v>
      </c>
      <c r="D3" s="290" t="s">
        <v>35</v>
      </c>
      <c r="E3" s="291"/>
      <c r="F3" s="285" t="s">
        <v>39</v>
      </c>
      <c r="G3" s="285"/>
    </row>
    <row r="4" spans="1:15" ht="15.75" customHeight="1" x14ac:dyDescent="0.25">
      <c r="A4" s="46"/>
      <c r="B4" s="45" t="s">
        <v>121</v>
      </c>
      <c r="C4" s="69">
        <v>40177</v>
      </c>
      <c r="D4" s="292" t="s">
        <v>161</v>
      </c>
      <c r="E4" s="293"/>
      <c r="F4" s="286" t="s">
        <v>38</v>
      </c>
      <c r="G4" s="286"/>
    </row>
    <row r="5" spans="1:15" ht="56.25" x14ac:dyDescent="0.25">
      <c r="A5" s="43">
        <v>1</v>
      </c>
      <c r="B5" s="42" t="s">
        <v>122</v>
      </c>
      <c r="C5" s="78" t="s">
        <v>123</v>
      </c>
      <c r="D5" s="294" t="s">
        <v>123</v>
      </c>
      <c r="E5" s="295"/>
      <c r="F5" s="281" t="s">
        <v>123</v>
      </c>
      <c r="G5" s="281"/>
      <c r="I5" s="1" t="s">
        <v>1</v>
      </c>
      <c r="J5" s="2" t="s">
        <v>2</v>
      </c>
      <c r="K5" s="1" t="s">
        <v>3</v>
      </c>
      <c r="L5" s="1" t="s">
        <v>4</v>
      </c>
      <c r="M5" s="1" t="s">
        <v>5</v>
      </c>
      <c r="N5" s="1" t="s">
        <v>6</v>
      </c>
      <c r="O5" s="70" t="s">
        <v>7</v>
      </c>
    </row>
    <row r="6" spans="1:15" ht="45" x14ac:dyDescent="0.25">
      <c r="A6" s="43">
        <v>2</v>
      </c>
      <c r="B6" s="42" t="s">
        <v>124</v>
      </c>
      <c r="C6" s="78" t="s">
        <v>125</v>
      </c>
      <c r="D6" s="89" t="s">
        <v>171</v>
      </c>
      <c r="E6" s="78" t="s">
        <v>170</v>
      </c>
      <c r="F6" s="78" t="s">
        <v>154</v>
      </c>
      <c r="G6" s="78" t="s">
        <v>159</v>
      </c>
      <c r="I6" s="14" t="s">
        <v>32</v>
      </c>
      <c r="J6" s="15">
        <v>40177</v>
      </c>
      <c r="K6" s="16" t="s">
        <v>33</v>
      </c>
      <c r="L6" s="16" t="s">
        <v>17</v>
      </c>
      <c r="M6" s="17">
        <v>45383</v>
      </c>
      <c r="N6" s="17">
        <v>45747</v>
      </c>
      <c r="O6" s="5">
        <f>N6+56</f>
        <v>45803</v>
      </c>
    </row>
    <row r="7" spans="1:15" ht="22.5" x14ac:dyDescent="0.25">
      <c r="A7" s="43">
        <v>3</v>
      </c>
      <c r="B7" s="42" t="s">
        <v>126</v>
      </c>
      <c r="C7" s="89" t="s">
        <v>127</v>
      </c>
      <c r="D7" s="296" t="s">
        <v>127</v>
      </c>
      <c r="E7" s="297"/>
      <c r="F7" s="284" t="s">
        <v>127</v>
      </c>
      <c r="G7" s="284"/>
      <c r="I7" s="14" t="s">
        <v>34</v>
      </c>
      <c r="J7" s="15" t="s">
        <v>162</v>
      </c>
      <c r="K7" s="16" t="s">
        <v>35</v>
      </c>
      <c r="L7" s="16" t="s">
        <v>36</v>
      </c>
      <c r="M7" s="17">
        <v>45383</v>
      </c>
      <c r="N7" s="17">
        <v>45747</v>
      </c>
      <c r="O7" s="5">
        <f>N7+56</f>
        <v>45803</v>
      </c>
    </row>
    <row r="8" spans="1:15" x14ac:dyDescent="0.25">
      <c r="A8" s="43">
        <v>4</v>
      </c>
      <c r="B8" s="42" t="s">
        <v>128</v>
      </c>
      <c r="C8" s="78" t="s">
        <v>129</v>
      </c>
      <c r="D8" s="298" t="s">
        <v>129</v>
      </c>
      <c r="E8" s="299"/>
      <c r="F8" s="281" t="s">
        <v>129</v>
      </c>
      <c r="G8" s="281"/>
      <c r="I8" s="14" t="s">
        <v>37</v>
      </c>
      <c r="J8" s="15" t="s">
        <v>38</v>
      </c>
      <c r="K8" s="16" t="s">
        <v>39</v>
      </c>
      <c r="L8" s="16" t="s">
        <v>36</v>
      </c>
      <c r="M8" s="17">
        <v>45383</v>
      </c>
      <c r="N8" s="17">
        <v>45747</v>
      </c>
      <c r="O8" s="5">
        <f>N8+56</f>
        <v>45803</v>
      </c>
    </row>
    <row r="9" spans="1:15" ht="33.75" x14ac:dyDescent="0.25">
      <c r="A9" s="43">
        <v>5</v>
      </c>
      <c r="B9" s="42" t="s">
        <v>130</v>
      </c>
      <c r="C9" s="78" t="s">
        <v>129</v>
      </c>
      <c r="D9" s="298" t="s">
        <v>129</v>
      </c>
      <c r="E9" s="299"/>
      <c r="F9" s="281" t="s">
        <v>129</v>
      </c>
      <c r="G9" s="281"/>
      <c r="I9" s="14" t="s">
        <v>115</v>
      </c>
      <c r="J9" s="15" t="s">
        <v>116</v>
      </c>
      <c r="K9" s="16" t="s">
        <v>117</v>
      </c>
      <c r="L9" s="16" t="s">
        <v>118</v>
      </c>
      <c r="M9" s="17">
        <v>45383</v>
      </c>
      <c r="N9" s="17">
        <v>45747</v>
      </c>
      <c r="O9" s="5">
        <f>N9+56</f>
        <v>45803</v>
      </c>
    </row>
    <row r="10" spans="1:15" x14ac:dyDescent="0.25">
      <c r="A10" s="43">
        <v>6</v>
      </c>
      <c r="B10" s="42" t="s">
        <v>131</v>
      </c>
      <c r="C10" s="78" t="s">
        <v>132</v>
      </c>
      <c r="D10" s="298" t="s">
        <v>132</v>
      </c>
      <c r="E10" s="299"/>
      <c r="F10" s="281" t="s">
        <v>132</v>
      </c>
      <c r="G10" s="281"/>
      <c r="I10" s="44"/>
    </row>
    <row r="11" spans="1:15" x14ac:dyDescent="0.25">
      <c r="A11" s="43">
        <v>7</v>
      </c>
      <c r="B11" s="42" t="s">
        <v>133</v>
      </c>
      <c r="C11" s="78" t="s">
        <v>127</v>
      </c>
      <c r="D11" s="298" t="s">
        <v>127</v>
      </c>
      <c r="E11" s="299"/>
      <c r="F11" s="281" t="s">
        <v>127</v>
      </c>
      <c r="G11" s="281"/>
      <c r="I11" s="44"/>
    </row>
    <row r="12" spans="1:15" x14ac:dyDescent="0.25">
      <c r="A12" s="43">
        <v>8</v>
      </c>
      <c r="B12" s="42" t="s">
        <v>134</v>
      </c>
      <c r="C12" s="78" t="s">
        <v>127</v>
      </c>
      <c r="D12" s="296" t="s">
        <v>127</v>
      </c>
      <c r="E12" s="297"/>
      <c r="F12" s="284" t="s">
        <v>127</v>
      </c>
      <c r="G12" s="284"/>
      <c r="I12" s="44"/>
    </row>
    <row r="13" spans="1:15" x14ac:dyDescent="0.25">
      <c r="A13" s="43">
        <v>9</v>
      </c>
      <c r="B13" s="42" t="s">
        <v>135</v>
      </c>
      <c r="C13" s="78" t="s">
        <v>127</v>
      </c>
      <c r="D13" s="298" t="s">
        <v>127</v>
      </c>
      <c r="E13" s="299"/>
      <c r="F13" s="281" t="s">
        <v>127</v>
      </c>
      <c r="G13" s="281"/>
      <c r="I13" s="44"/>
    </row>
    <row r="14" spans="1:15" x14ac:dyDescent="0.25">
      <c r="A14" s="43">
        <v>10</v>
      </c>
      <c r="B14" s="42" t="s">
        <v>136</v>
      </c>
      <c r="C14" s="78" t="s">
        <v>127</v>
      </c>
      <c r="D14" s="298" t="s">
        <v>127</v>
      </c>
      <c r="E14" s="299"/>
      <c r="F14" s="281" t="s">
        <v>127</v>
      </c>
      <c r="G14" s="281"/>
      <c r="I14" s="44"/>
    </row>
    <row r="15" spans="1:15" ht="22.5" x14ac:dyDescent="0.25">
      <c r="A15" s="43">
        <v>11</v>
      </c>
      <c r="B15" s="42" t="s">
        <v>137</v>
      </c>
      <c r="C15" s="118" t="s">
        <v>132</v>
      </c>
      <c r="D15" s="300" t="s">
        <v>132</v>
      </c>
      <c r="E15" s="301"/>
      <c r="F15" s="283" t="s">
        <v>132</v>
      </c>
      <c r="G15" s="283"/>
      <c r="I15" s="44"/>
    </row>
    <row r="16" spans="1:15" x14ac:dyDescent="0.25">
      <c r="A16" s="43">
        <v>12</v>
      </c>
      <c r="B16" s="42" t="s">
        <v>138</v>
      </c>
      <c r="C16" s="78" t="s">
        <v>139</v>
      </c>
      <c r="D16" s="298" t="s">
        <v>139</v>
      </c>
      <c r="E16" s="299"/>
      <c r="F16" s="281" t="s">
        <v>139</v>
      </c>
      <c r="G16" s="281"/>
      <c r="I16" s="44"/>
    </row>
    <row r="17" spans="1:9" x14ac:dyDescent="0.25">
      <c r="A17" s="43">
        <v>13</v>
      </c>
      <c r="B17" s="42" t="s">
        <v>140</v>
      </c>
      <c r="C17" s="78" t="s">
        <v>127</v>
      </c>
      <c r="D17" s="298" t="s">
        <v>127</v>
      </c>
      <c r="E17" s="299"/>
      <c r="F17" s="281" t="s">
        <v>127</v>
      </c>
      <c r="G17" s="281"/>
      <c r="I17" s="44"/>
    </row>
    <row r="18" spans="1:9" ht="22.5" x14ac:dyDescent="0.25">
      <c r="A18" s="43">
        <v>14</v>
      </c>
      <c r="B18" s="42" t="s">
        <v>141</v>
      </c>
      <c r="C18" s="78" t="s">
        <v>129</v>
      </c>
      <c r="D18" s="298" t="s">
        <v>129</v>
      </c>
      <c r="E18" s="299"/>
      <c r="F18" s="281" t="s">
        <v>129</v>
      </c>
      <c r="G18" s="281"/>
      <c r="I18" s="44"/>
    </row>
    <row r="19" spans="1:9" ht="33.75" x14ac:dyDescent="0.25">
      <c r="A19" s="43">
        <v>15</v>
      </c>
      <c r="B19" s="42" t="s">
        <v>142</v>
      </c>
      <c r="C19" s="78" t="s">
        <v>127</v>
      </c>
      <c r="D19" s="298" t="s">
        <v>127</v>
      </c>
      <c r="E19" s="299"/>
      <c r="F19" s="281" t="s">
        <v>127</v>
      </c>
      <c r="G19" s="281"/>
    </row>
    <row r="20" spans="1:9" ht="22.5" x14ac:dyDescent="0.25">
      <c r="A20" s="43">
        <v>16</v>
      </c>
      <c r="B20" s="42" t="s">
        <v>143</v>
      </c>
      <c r="C20" s="78" t="s">
        <v>127</v>
      </c>
      <c r="D20" s="298" t="s">
        <v>127</v>
      </c>
      <c r="E20" s="299"/>
      <c r="F20" s="281" t="s">
        <v>127</v>
      </c>
      <c r="G20" s="281"/>
    </row>
    <row r="21" spans="1:9" ht="27.75" customHeight="1" x14ac:dyDescent="0.25">
      <c r="A21" s="43">
        <v>17</v>
      </c>
      <c r="B21" s="42" t="s">
        <v>144</v>
      </c>
      <c r="C21" s="78" t="s">
        <v>123</v>
      </c>
      <c r="D21" s="298" t="s">
        <v>123</v>
      </c>
      <c r="E21" s="299"/>
      <c r="F21" s="281" t="s">
        <v>123</v>
      </c>
      <c r="G21" s="281"/>
    </row>
    <row r="22" spans="1:9" ht="44.25" customHeight="1" x14ac:dyDescent="0.25">
      <c r="A22" s="43">
        <v>18</v>
      </c>
      <c r="B22" s="42" t="s">
        <v>145</v>
      </c>
      <c r="C22" s="96" t="s">
        <v>146</v>
      </c>
      <c r="D22" s="302" t="s">
        <v>146</v>
      </c>
      <c r="E22" s="303"/>
      <c r="F22" s="282" t="s">
        <v>146</v>
      </c>
      <c r="G22" s="282"/>
    </row>
    <row r="24" spans="1:9" ht="15" customHeight="1" x14ac:dyDescent="0.25">
      <c r="B24" s="272"/>
      <c r="C24" s="272"/>
      <c r="D24" s="272"/>
      <c r="E24" s="272"/>
      <c r="F24" s="272"/>
    </row>
    <row r="25" spans="1:9" ht="15" customHeight="1" x14ac:dyDescent="0.25">
      <c r="B25"/>
    </row>
  </sheetData>
  <mergeCells count="41">
    <mergeCell ref="D22:E22"/>
    <mergeCell ref="D17:E17"/>
    <mergeCell ref="D18:E18"/>
    <mergeCell ref="D19:E19"/>
    <mergeCell ref="D20:E20"/>
    <mergeCell ref="D21:E21"/>
    <mergeCell ref="B24:F24"/>
    <mergeCell ref="C2:F2"/>
    <mergeCell ref="A1:F1"/>
    <mergeCell ref="D3:E3"/>
    <mergeCell ref="D4:E4"/>
    <mergeCell ref="D5:E5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F3:G3"/>
    <mergeCell ref="F4:G4"/>
    <mergeCell ref="F5:G5"/>
    <mergeCell ref="F7:G7"/>
    <mergeCell ref="F8:G8"/>
    <mergeCell ref="F9:G9"/>
    <mergeCell ref="F10:G10"/>
    <mergeCell ref="F11:G11"/>
    <mergeCell ref="F12:G12"/>
    <mergeCell ref="F13:G13"/>
    <mergeCell ref="F19:G19"/>
    <mergeCell ref="F20:G20"/>
    <mergeCell ref="F21:G21"/>
    <mergeCell ref="F22:G22"/>
    <mergeCell ref="F14:G14"/>
    <mergeCell ref="F15:G15"/>
    <mergeCell ref="F16:G16"/>
    <mergeCell ref="F17:G17"/>
    <mergeCell ref="F18:G18"/>
  </mergeCells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Q25"/>
  <sheetViews>
    <sheetView workbookViewId="0">
      <selection sqref="A1:E1"/>
    </sheetView>
  </sheetViews>
  <sheetFormatPr defaultColWidth="9.140625" defaultRowHeight="15" x14ac:dyDescent="0.25"/>
  <cols>
    <col min="1" max="1" width="6.7109375" bestFit="1" customWidth="1"/>
    <col min="2" max="2" width="23.85546875" bestFit="1" customWidth="1"/>
    <col min="3" max="4" width="19.140625" bestFit="1" customWidth="1"/>
    <col min="5" max="5" width="21" bestFit="1" customWidth="1"/>
    <col min="8" max="8" width="21" bestFit="1" customWidth="1"/>
  </cols>
  <sheetData>
    <row r="1" spans="1:13" x14ac:dyDescent="0.25">
      <c r="A1" s="273" t="s">
        <v>176</v>
      </c>
      <c r="B1" s="273"/>
      <c r="C1" s="273"/>
      <c r="D1" s="273"/>
      <c r="E1" s="273"/>
    </row>
    <row r="2" spans="1:13" x14ac:dyDescent="0.25">
      <c r="A2" s="274" t="s">
        <v>177</v>
      </c>
      <c r="B2" s="274"/>
      <c r="C2" s="274"/>
      <c r="D2" s="274"/>
      <c r="E2" s="274"/>
    </row>
    <row r="3" spans="1:13" x14ac:dyDescent="0.25">
      <c r="A3" s="91"/>
      <c r="B3" s="92" t="s">
        <v>120</v>
      </c>
      <c r="C3" s="94" t="s">
        <v>44</v>
      </c>
      <c r="D3" s="94" t="s">
        <v>47</v>
      </c>
      <c r="E3" s="94" t="s">
        <v>50</v>
      </c>
    </row>
    <row r="4" spans="1:13" x14ac:dyDescent="0.25">
      <c r="A4" s="46"/>
      <c r="B4" s="45" t="s">
        <v>121</v>
      </c>
      <c r="C4" s="21" t="s">
        <v>43</v>
      </c>
      <c r="D4" s="21" t="s">
        <v>46</v>
      </c>
      <c r="E4" s="21" t="s">
        <v>164</v>
      </c>
    </row>
    <row r="5" spans="1:13" x14ac:dyDescent="0.25">
      <c r="A5" s="43">
        <v>1</v>
      </c>
      <c r="B5" s="42" t="s">
        <v>122</v>
      </c>
      <c r="C5" s="78" t="s">
        <v>123</v>
      </c>
      <c r="D5" s="78" t="s">
        <v>123</v>
      </c>
      <c r="E5" s="78" t="s">
        <v>123</v>
      </c>
    </row>
    <row r="6" spans="1:13" ht="20.25" customHeight="1" x14ac:dyDescent="0.25">
      <c r="A6" s="304">
        <v>2</v>
      </c>
      <c r="B6" s="306" t="s">
        <v>124</v>
      </c>
      <c r="C6" s="308" t="s">
        <v>125</v>
      </c>
      <c r="D6" s="89" t="s">
        <v>159</v>
      </c>
      <c r="E6" s="308" t="s">
        <v>125</v>
      </c>
    </row>
    <row r="7" spans="1:13" ht="20.25" customHeight="1" x14ac:dyDescent="0.25">
      <c r="A7" s="305"/>
      <c r="B7" s="307"/>
      <c r="C7" s="309"/>
      <c r="D7" s="89" t="s">
        <v>173</v>
      </c>
      <c r="E7" s="309"/>
      <c r="G7" s="1" t="s">
        <v>1</v>
      </c>
      <c r="H7" s="1" t="s">
        <v>1</v>
      </c>
      <c r="I7" s="1" t="s">
        <v>3</v>
      </c>
      <c r="J7" s="1" t="s">
        <v>4</v>
      </c>
      <c r="K7" s="1" t="s">
        <v>5</v>
      </c>
      <c r="L7" s="1" t="s">
        <v>6</v>
      </c>
      <c r="M7" s="70" t="s">
        <v>174</v>
      </c>
    </row>
    <row r="8" spans="1:13" ht="22.5" x14ac:dyDescent="0.25">
      <c r="A8" s="43">
        <v>3</v>
      </c>
      <c r="B8" s="42" t="s">
        <v>126</v>
      </c>
      <c r="C8" s="89" t="s">
        <v>127</v>
      </c>
      <c r="D8" s="89" t="s">
        <v>127</v>
      </c>
      <c r="E8" s="89" t="s">
        <v>127</v>
      </c>
      <c r="G8" s="19">
        <v>4</v>
      </c>
      <c r="H8" s="20" t="s">
        <v>40</v>
      </c>
      <c r="I8" s="21" t="s">
        <v>41</v>
      </c>
      <c r="J8" s="21" t="s">
        <v>17</v>
      </c>
      <c r="K8" s="22">
        <v>45413</v>
      </c>
      <c r="L8" s="22">
        <v>45777</v>
      </c>
      <c r="M8" s="93">
        <f>L8+56</f>
        <v>45833</v>
      </c>
    </row>
    <row r="9" spans="1:13" x14ac:dyDescent="0.25">
      <c r="A9" s="43">
        <v>4</v>
      </c>
      <c r="B9" s="42" t="s">
        <v>128</v>
      </c>
      <c r="C9" s="89" t="s">
        <v>129</v>
      </c>
      <c r="D9" s="89" t="s">
        <v>129</v>
      </c>
      <c r="E9" s="89" t="s">
        <v>129</v>
      </c>
      <c r="G9" s="19">
        <v>4</v>
      </c>
      <c r="H9" s="20" t="s">
        <v>42</v>
      </c>
      <c r="I9" s="21" t="s">
        <v>44</v>
      </c>
      <c r="J9" s="21" t="s">
        <v>23</v>
      </c>
      <c r="K9" s="22">
        <v>45413</v>
      </c>
      <c r="L9" s="22">
        <v>45777</v>
      </c>
      <c r="M9" s="93">
        <f>L9+56</f>
        <v>45833</v>
      </c>
    </row>
    <row r="10" spans="1:13" ht="33.75" x14ac:dyDescent="0.25">
      <c r="A10" s="43">
        <v>5</v>
      </c>
      <c r="B10" s="42" t="s">
        <v>130</v>
      </c>
      <c r="C10" s="89" t="s">
        <v>129</v>
      </c>
      <c r="D10" s="89" t="s">
        <v>129</v>
      </c>
      <c r="E10" s="89" t="s">
        <v>129</v>
      </c>
      <c r="G10" s="19">
        <v>4</v>
      </c>
      <c r="H10" s="20" t="s">
        <v>45</v>
      </c>
      <c r="I10" s="21" t="s">
        <v>47</v>
      </c>
      <c r="J10" s="21" t="s">
        <v>29</v>
      </c>
      <c r="K10" s="22">
        <v>45413</v>
      </c>
      <c r="L10" s="22">
        <v>45777</v>
      </c>
      <c r="M10" s="93">
        <f>L10+56</f>
        <v>45833</v>
      </c>
    </row>
    <row r="11" spans="1:13" x14ac:dyDescent="0.25">
      <c r="A11" s="43">
        <v>6</v>
      </c>
      <c r="B11" s="42" t="s">
        <v>131</v>
      </c>
      <c r="C11" s="78" t="s">
        <v>132</v>
      </c>
      <c r="D11" s="78" t="s">
        <v>132</v>
      </c>
      <c r="E11" s="78" t="s">
        <v>132</v>
      </c>
      <c r="G11" s="19">
        <v>4</v>
      </c>
      <c r="H11" s="20" t="s">
        <v>48</v>
      </c>
      <c r="I11" s="21" t="s">
        <v>50</v>
      </c>
      <c r="J11" s="21" t="s">
        <v>36</v>
      </c>
      <c r="K11" s="22">
        <v>45413</v>
      </c>
      <c r="L11" s="22">
        <v>45777</v>
      </c>
      <c r="M11" s="93">
        <f>L11+56</f>
        <v>45833</v>
      </c>
    </row>
    <row r="12" spans="1:13" x14ac:dyDescent="0.25">
      <c r="A12" s="43">
        <v>7</v>
      </c>
      <c r="B12" s="42" t="s">
        <v>133</v>
      </c>
      <c r="C12" s="89" t="s">
        <v>127</v>
      </c>
      <c r="D12" s="89" t="s">
        <v>127</v>
      </c>
      <c r="E12" s="89" t="s">
        <v>127</v>
      </c>
    </row>
    <row r="13" spans="1:13" x14ac:dyDescent="0.25">
      <c r="A13" s="43">
        <v>8</v>
      </c>
      <c r="B13" s="42" t="s">
        <v>134</v>
      </c>
      <c r="C13" s="89" t="s">
        <v>127</v>
      </c>
      <c r="D13" s="89" t="s">
        <v>127</v>
      </c>
      <c r="E13" s="89" t="s">
        <v>127</v>
      </c>
    </row>
    <row r="14" spans="1:13" x14ac:dyDescent="0.25">
      <c r="A14" s="43">
        <v>9</v>
      </c>
      <c r="B14" s="42" t="s">
        <v>135</v>
      </c>
      <c r="C14" s="89" t="s">
        <v>127</v>
      </c>
      <c r="D14" s="89" t="s">
        <v>127</v>
      </c>
      <c r="E14" s="89" t="s">
        <v>127</v>
      </c>
    </row>
    <row r="15" spans="1:13" x14ac:dyDescent="0.25">
      <c r="A15" s="43">
        <v>10</v>
      </c>
      <c r="B15" s="42" t="s">
        <v>136</v>
      </c>
      <c r="C15" s="89" t="s">
        <v>127</v>
      </c>
      <c r="D15" s="89" t="s">
        <v>127</v>
      </c>
      <c r="E15" s="89" t="s">
        <v>127</v>
      </c>
    </row>
    <row r="16" spans="1:13" ht="22.5" x14ac:dyDescent="0.25">
      <c r="A16" s="43">
        <v>11</v>
      </c>
      <c r="B16" s="42" t="s">
        <v>137</v>
      </c>
      <c r="C16" s="89" t="s">
        <v>132</v>
      </c>
      <c r="D16" s="89" t="s">
        <v>132</v>
      </c>
      <c r="E16" s="89" t="s">
        <v>132</v>
      </c>
    </row>
    <row r="17" spans="1:17" x14ac:dyDescent="0.25">
      <c r="A17" s="43">
        <v>12</v>
      </c>
      <c r="B17" s="42" t="s">
        <v>138</v>
      </c>
      <c r="C17" s="89" t="s">
        <v>139</v>
      </c>
      <c r="D17" s="89" t="s">
        <v>139</v>
      </c>
      <c r="E17" s="89" t="s">
        <v>139</v>
      </c>
    </row>
    <row r="18" spans="1:17" x14ac:dyDescent="0.25">
      <c r="A18" s="43">
        <v>13</v>
      </c>
      <c r="B18" s="42" t="s">
        <v>140</v>
      </c>
      <c r="C18" s="78" t="s">
        <v>127</v>
      </c>
      <c r="D18" s="78" t="s">
        <v>127</v>
      </c>
      <c r="E18" s="78" t="s">
        <v>127</v>
      </c>
      <c r="L18" s="20" t="s">
        <v>40</v>
      </c>
      <c r="M18" s="21" t="s">
        <v>41</v>
      </c>
      <c r="N18" s="21" t="s">
        <v>17</v>
      </c>
      <c r="O18" s="22">
        <v>45047</v>
      </c>
      <c r="P18" s="22">
        <v>45412</v>
      </c>
      <c r="Q18" s="93">
        <f>P18+56</f>
        <v>45468</v>
      </c>
    </row>
    <row r="19" spans="1:17" ht="22.5" x14ac:dyDescent="0.25">
      <c r="A19" s="43">
        <v>14</v>
      </c>
      <c r="B19" s="42" t="s">
        <v>141</v>
      </c>
      <c r="C19" s="89" t="s">
        <v>129</v>
      </c>
      <c r="D19" s="89" t="s">
        <v>129</v>
      </c>
      <c r="E19" s="89" t="s">
        <v>129</v>
      </c>
      <c r="L19" s="20" t="s">
        <v>42</v>
      </c>
      <c r="M19" s="21" t="s">
        <v>44</v>
      </c>
      <c r="N19" s="21" t="s">
        <v>23</v>
      </c>
      <c r="O19" s="22">
        <v>45047</v>
      </c>
      <c r="P19" s="22">
        <v>45412</v>
      </c>
      <c r="Q19" s="93">
        <f>P19+56</f>
        <v>45468</v>
      </c>
    </row>
    <row r="20" spans="1:17" ht="33.75" x14ac:dyDescent="0.25">
      <c r="A20" s="43">
        <v>15</v>
      </c>
      <c r="B20" s="42" t="s">
        <v>142</v>
      </c>
      <c r="C20" s="78" t="s">
        <v>127</v>
      </c>
      <c r="D20" s="78" t="s">
        <v>127</v>
      </c>
      <c r="E20" s="78" t="s">
        <v>127</v>
      </c>
      <c r="L20" s="20" t="s">
        <v>45</v>
      </c>
      <c r="M20" s="21" t="s">
        <v>47</v>
      </c>
      <c r="N20" s="21" t="s">
        <v>29</v>
      </c>
      <c r="O20" s="22">
        <v>45047</v>
      </c>
      <c r="P20" s="22">
        <v>45412</v>
      </c>
      <c r="Q20" s="93">
        <f>P20+56</f>
        <v>45468</v>
      </c>
    </row>
    <row r="21" spans="1:17" ht="22.5" x14ac:dyDescent="0.25">
      <c r="A21" s="43">
        <v>16</v>
      </c>
      <c r="B21" s="42" t="s">
        <v>143</v>
      </c>
      <c r="C21" s="78" t="s">
        <v>127</v>
      </c>
      <c r="D21" s="78" t="s">
        <v>127</v>
      </c>
      <c r="E21" s="78" t="s">
        <v>127</v>
      </c>
      <c r="L21" s="20" t="s">
        <v>48</v>
      </c>
      <c r="M21" s="21" t="s">
        <v>50</v>
      </c>
      <c r="N21" s="21" t="s">
        <v>36</v>
      </c>
      <c r="O21" s="22">
        <v>45047</v>
      </c>
      <c r="P21" s="22">
        <v>45412</v>
      </c>
      <c r="Q21" s="93">
        <f>P21+56</f>
        <v>45468</v>
      </c>
    </row>
    <row r="22" spans="1:17" ht="22.5" x14ac:dyDescent="0.25">
      <c r="A22" s="43">
        <v>17</v>
      </c>
      <c r="B22" s="42" t="s">
        <v>144</v>
      </c>
      <c r="C22" s="89" t="s">
        <v>123</v>
      </c>
      <c r="D22" s="89" t="s">
        <v>123</v>
      </c>
      <c r="E22" s="89" t="s">
        <v>123</v>
      </c>
    </row>
    <row r="23" spans="1:17" ht="45" x14ac:dyDescent="0.25">
      <c r="A23" s="43">
        <v>18</v>
      </c>
      <c r="B23" s="42" t="s">
        <v>145</v>
      </c>
      <c r="C23" s="96" t="s">
        <v>146</v>
      </c>
      <c r="D23" s="96" t="s">
        <v>146</v>
      </c>
      <c r="E23" s="96" t="s">
        <v>146</v>
      </c>
    </row>
    <row r="25" spans="1:17" x14ac:dyDescent="0.25">
      <c r="A25" s="95"/>
      <c r="B25" s="87"/>
    </row>
  </sheetData>
  <mergeCells count="6">
    <mergeCell ref="A1:E1"/>
    <mergeCell ref="A2:E2"/>
    <mergeCell ref="A6:A7"/>
    <mergeCell ref="B6:B7"/>
    <mergeCell ref="C6:C7"/>
    <mergeCell ref="E6:E7"/>
  </mergeCells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pageSetUpPr fitToPage="1"/>
  </sheetPr>
  <dimension ref="A1:AQ32"/>
  <sheetViews>
    <sheetView topLeftCell="A3" workbookViewId="0">
      <selection activeCell="S10" sqref="S10"/>
    </sheetView>
  </sheetViews>
  <sheetFormatPr defaultColWidth="11.42578125" defaultRowHeight="15" outlineLevelCol="1" x14ac:dyDescent="0.25"/>
  <cols>
    <col min="1" max="1" width="3" bestFit="1" customWidth="1"/>
    <col min="2" max="2" width="23.85546875" bestFit="1" customWidth="1"/>
    <col min="3" max="4" width="10.42578125" hidden="1" customWidth="1"/>
    <col min="5" max="5" width="6.42578125" hidden="1" customWidth="1"/>
    <col min="6" max="6" width="5.42578125" hidden="1" customWidth="1"/>
    <col min="7" max="7" width="10.5703125" hidden="1" customWidth="1"/>
    <col min="8" max="8" width="8.7109375" hidden="1" customWidth="1"/>
    <col min="9" max="9" width="7" hidden="1" customWidth="1"/>
    <col min="10" max="11" width="6.42578125" hidden="1" customWidth="1"/>
    <col min="12" max="12" width="6.7109375" hidden="1" customWidth="1"/>
    <col min="13" max="13" width="8.42578125" hidden="1" customWidth="1"/>
    <col min="14" max="14" width="10.7109375" hidden="1" customWidth="1" outlineLevel="1"/>
    <col min="15" max="15" width="6.5703125" hidden="1" customWidth="1" outlineLevel="1"/>
    <col min="16" max="16" width="5.5703125" hidden="1" customWidth="1" outlineLevel="1"/>
    <col min="17" max="17" width="7.5703125" hidden="1" customWidth="1" outlineLevel="1"/>
    <col min="18" max="18" width="6.28515625" hidden="1" customWidth="1" outlineLevel="1"/>
    <col min="19" max="19" width="17.42578125" customWidth="1" collapsed="1"/>
    <col min="20" max="20" width="6.42578125" customWidth="1"/>
    <col min="21" max="21" width="5.5703125" customWidth="1"/>
    <col min="22" max="22" width="7.140625" customWidth="1"/>
    <col min="23" max="23" width="8.42578125" customWidth="1"/>
    <col min="24" max="24" width="7.7109375" customWidth="1"/>
    <col min="25" max="25" width="10" customWidth="1"/>
    <col min="26" max="26" width="7.140625" customWidth="1"/>
    <col min="27" max="27" width="5.5703125" customWidth="1"/>
    <col min="28" max="28" width="6.42578125" customWidth="1"/>
    <col min="29" max="29" width="5.5703125" customWidth="1"/>
    <col min="30" max="30" width="7.140625" customWidth="1"/>
    <col min="31" max="33" width="5.5703125" customWidth="1"/>
    <col min="34" max="34" width="7.5703125" customWidth="1"/>
    <col min="35" max="35" width="5.5703125" customWidth="1"/>
    <col min="36" max="36" width="6.42578125" customWidth="1"/>
    <col min="37" max="37" width="5.5703125" customWidth="1"/>
    <col min="38" max="38" width="7.140625" customWidth="1"/>
    <col min="39" max="41" width="5.5703125" customWidth="1"/>
    <col min="42" max="42" width="7.5703125" customWidth="1"/>
    <col min="43" max="43" width="5.5703125" customWidth="1"/>
  </cols>
  <sheetData>
    <row r="1" spans="1:43" ht="15" customHeight="1" x14ac:dyDescent="0.25">
      <c r="A1" s="430" t="s">
        <v>182</v>
      </c>
      <c r="B1" s="431"/>
      <c r="C1" s="432" t="s">
        <v>183</v>
      </c>
      <c r="D1" s="433"/>
      <c r="E1" s="433"/>
      <c r="F1" s="433"/>
      <c r="G1" s="434"/>
      <c r="H1" s="438" t="s">
        <v>190</v>
      </c>
      <c r="I1" s="439"/>
      <c r="J1" s="439"/>
      <c r="K1" s="439"/>
      <c r="L1" s="439"/>
      <c r="M1" s="440"/>
      <c r="N1" s="438" t="s">
        <v>191</v>
      </c>
      <c r="O1" s="439"/>
      <c r="P1" s="439"/>
      <c r="Q1" s="439"/>
      <c r="R1" s="440"/>
      <c r="S1" s="438" t="s">
        <v>192</v>
      </c>
      <c r="T1" s="439"/>
      <c r="U1" s="439"/>
      <c r="V1" s="439"/>
      <c r="W1" s="439"/>
      <c r="X1" s="439"/>
      <c r="Y1" s="439"/>
      <c r="Z1" s="439"/>
      <c r="AA1" s="439"/>
      <c r="AB1" s="444" t="s">
        <v>193</v>
      </c>
      <c r="AC1" s="445"/>
      <c r="AD1" s="445"/>
      <c r="AE1" s="445"/>
      <c r="AF1" s="445"/>
      <c r="AG1" s="445"/>
      <c r="AH1" s="445"/>
      <c r="AI1" s="446"/>
      <c r="AJ1" s="444" t="s">
        <v>194</v>
      </c>
      <c r="AK1" s="445"/>
      <c r="AL1" s="445"/>
      <c r="AM1" s="445"/>
      <c r="AN1" s="445"/>
      <c r="AO1" s="445"/>
      <c r="AP1" s="445"/>
      <c r="AQ1" s="446"/>
    </row>
    <row r="2" spans="1:43" ht="27.75" customHeight="1" x14ac:dyDescent="0.25">
      <c r="A2" s="108"/>
      <c r="B2" s="109" t="s">
        <v>120</v>
      </c>
      <c r="C2" s="435"/>
      <c r="D2" s="436"/>
      <c r="E2" s="436"/>
      <c r="F2" s="436"/>
      <c r="G2" s="437"/>
      <c r="H2" s="441"/>
      <c r="I2" s="442"/>
      <c r="J2" s="442"/>
      <c r="K2" s="442"/>
      <c r="L2" s="442"/>
      <c r="M2" s="443"/>
      <c r="N2" s="441"/>
      <c r="O2" s="442"/>
      <c r="P2" s="442"/>
      <c r="Q2" s="442"/>
      <c r="R2" s="443"/>
      <c r="S2" s="447" t="s">
        <v>195</v>
      </c>
      <c r="T2" s="448"/>
      <c r="U2" s="449"/>
      <c r="V2" s="442" t="s">
        <v>196</v>
      </c>
      <c r="W2" s="442"/>
      <c r="X2" s="442"/>
      <c r="Y2" s="442"/>
      <c r="Z2" s="442"/>
      <c r="AA2" s="442"/>
      <c r="AB2" s="450" t="s">
        <v>197</v>
      </c>
      <c r="AC2" s="451"/>
      <c r="AD2" s="451"/>
      <c r="AE2" s="451"/>
      <c r="AF2" s="451"/>
      <c r="AG2" s="451"/>
      <c r="AH2" s="451"/>
      <c r="AI2" s="452"/>
      <c r="AJ2" s="450" t="s">
        <v>197</v>
      </c>
      <c r="AK2" s="451"/>
      <c r="AL2" s="451"/>
      <c r="AM2" s="451"/>
      <c r="AN2" s="451"/>
      <c r="AO2" s="451"/>
      <c r="AP2" s="451"/>
      <c r="AQ2" s="452"/>
    </row>
    <row r="3" spans="1:43" ht="30.75" customHeight="1" x14ac:dyDescent="0.25">
      <c r="A3" s="120"/>
      <c r="B3" s="121" t="s">
        <v>198</v>
      </c>
      <c r="C3" s="122" t="s">
        <v>22</v>
      </c>
      <c r="D3" s="123" t="s">
        <v>26</v>
      </c>
      <c r="E3" s="385" t="s">
        <v>31</v>
      </c>
      <c r="F3" s="385"/>
      <c r="G3" s="124" t="s">
        <v>28</v>
      </c>
      <c r="H3" s="386" t="s">
        <v>33</v>
      </c>
      <c r="I3" s="387"/>
      <c r="J3" s="388" t="s">
        <v>35</v>
      </c>
      <c r="K3" s="388"/>
      <c r="L3" s="389" t="s">
        <v>39</v>
      </c>
      <c r="M3" s="390"/>
      <c r="N3" s="125" t="s">
        <v>44</v>
      </c>
      <c r="O3" s="391" t="s">
        <v>47</v>
      </c>
      <c r="P3" s="392"/>
      <c r="Q3" s="391" t="s">
        <v>50</v>
      </c>
      <c r="R3" s="428"/>
      <c r="S3" s="125" t="s">
        <v>41</v>
      </c>
      <c r="T3" s="391" t="s">
        <v>56</v>
      </c>
      <c r="U3" s="392"/>
      <c r="V3" s="391" t="s">
        <v>56</v>
      </c>
      <c r="W3" s="392"/>
      <c r="X3" s="391" t="s">
        <v>53</v>
      </c>
      <c r="Y3" s="392"/>
      <c r="Z3" s="391" t="s">
        <v>63</v>
      </c>
      <c r="AA3" s="429"/>
      <c r="AB3" s="427" t="s">
        <v>66</v>
      </c>
      <c r="AC3" s="385"/>
      <c r="AD3" s="385" t="s">
        <v>69</v>
      </c>
      <c r="AE3" s="385"/>
      <c r="AF3" s="385" t="s">
        <v>60</v>
      </c>
      <c r="AG3" s="385"/>
      <c r="AH3" s="385" t="s">
        <v>72</v>
      </c>
      <c r="AI3" s="393"/>
      <c r="AJ3" s="427" t="s">
        <v>74</v>
      </c>
      <c r="AK3" s="385"/>
      <c r="AL3" s="385" t="s">
        <v>77</v>
      </c>
      <c r="AM3" s="385"/>
      <c r="AN3" s="385" t="s">
        <v>79</v>
      </c>
      <c r="AO3" s="385"/>
      <c r="AP3" s="385" t="s">
        <v>83</v>
      </c>
      <c r="AQ3" s="393"/>
    </row>
    <row r="4" spans="1:43" ht="29.25" customHeight="1" thickBot="1" x14ac:dyDescent="0.3">
      <c r="A4" s="126"/>
      <c r="B4" s="111" t="s">
        <v>199</v>
      </c>
      <c r="C4" s="127" t="s">
        <v>151</v>
      </c>
      <c r="D4" s="128" t="s">
        <v>25</v>
      </c>
      <c r="E4" s="418">
        <v>44000</v>
      </c>
      <c r="F4" s="418"/>
      <c r="G4" s="129" t="s">
        <v>186</v>
      </c>
      <c r="H4" s="419">
        <v>40177</v>
      </c>
      <c r="I4" s="420"/>
      <c r="J4" s="412" t="s">
        <v>161</v>
      </c>
      <c r="K4" s="412"/>
      <c r="L4" s="421" t="s">
        <v>38</v>
      </c>
      <c r="M4" s="422"/>
      <c r="N4" s="130" t="s">
        <v>184</v>
      </c>
      <c r="O4" s="423" t="s">
        <v>185</v>
      </c>
      <c r="P4" s="424"/>
      <c r="Q4" s="423" t="s">
        <v>187</v>
      </c>
      <c r="R4" s="425"/>
      <c r="S4" s="131">
        <v>40058</v>
      </c>
      <c r="T4" s="421">
        <v>40190</v>
      </c>
      <c r="U4" s="420"/>
      <c r="V4" s="421">
        <v>40180</v>
      </c>
      <c r="W4" s="420"/>
      <c r="X4" s="415" t="s">
        <v>52</v>
      </c>
      <c r="Y4" s="426"/>
      <c r="Z4" s="415" t="s">
        <v>62</v>
      </c>
      <c r="AA4" s="416"/>
      <c r="AB4" s="417">
        <v>40150</v>
      </c>
      <c r="AC4" s="412"/>
      <c r="AD4" s="412" t="s">
        <v>68</v>
      </c>
      <c r="AE4" s="412"/>
      <c r="AF4" s="413" t="s">
        <v>59</v>
      </c>
      <c r="AG4" s="413"/>
      <c r="AH4" s="413" t="s">
        <v>71</v>
      </c>
      <c r="AI4" s="414"/>
      <c r="AJ4" s="417">
        <v>40446</v>
      </c>
      <c r="AK4" s="412"/>
      <c r="AL4" s="412" t="s">
        <v>76</v>
      </c>
      <c r="AM4" s="412"/>
      <c r="AN4" s="413">
        <v>43375</v>
      </c>
      <c r="AO4" s="413"/>
      <c r="AP4" s="413" t="s">
        <v>82</v>
      </c>
      <c r="AQ4" s="414"/>
    </row>
    <row r="5" spans="1:43" x14ac:dyDescent="0.25">
      <c r="A5" s="110"/>
      <c r="B5" s="112" t="s">
        <v>180</v>
      </c>
      <c r="C5" s="394">
        <v>45806</v>
      </c>
      <c r="D5" s="395"/>
      <c r="E5" s="395"/>
      <c r="F5" s="395"/>
      <c r="G5" s="396"/>
      <c r="H5" s="397">
        <v>45837</v>
      </c>
      <c r="I5" s="394"/>
      <c r="J5" s="394"/>
      <c r="K5" s="394"/>
      <c r="L5" s="394"/>
      <c r="M5" s="398"/>
      <c r="N5" s="399">
        <v>45867</v>
      </c>
      <c r="O5" s="400"/>
      <c r="P5" s="401"/>
      <c r="Q5" s="401"/>
      <c r="R5" s="402"/>
      <c r="S5" s="403">
        <v>45898</v>
      </c>
      <c r="T5" s="404"/>
      <c r="U5" s="405"/>
      <c r="V5" s="405"/>
      <c r="W5" s="405"/>
      <c r="X5" s="405"/>
      <c r="Y5" s="405"/>
      <c r="Z5" s="405"/>
      <c r="AA5" s="405"/>
      <c r="AB5" s="403">
        <v>45928</v>
      </c>
      <c r="AC5" s="405"/>
      <c r="AD5" s="405"/>
      <c r="AE5" s="405"/>
      <c r="AF5" s="405"/>
      <c r="AG5" s="405"/>
      <c r="AH5" s="405"/>
      <c r="AI5" s="406"/>
      <c r="AJ5" s="403">
        <v>45959</v>
      </c>
      <c r="AK5" s="405"/>
      <c r="AL5" s="405"/>
      <c r="AM5" s="405"/>
      <c r="AN5" s="405"/>
      <c r="AO5" s="405"/>
      <c r="AP5" s="405"/>
      <c r="AQ5" s="406"/>
    </row>
    <row r="6" spans="1:43" ht="24.75" customHeight="1" thickBot="1" x14ac:dyDescent="0.3">
      <c r="A6" s="110"/>
      <c r="B6" s="113" t="s">
        <v>189</v>
      </c>
      <c r="C6" s="132">
        <v>45818</v>
      </c>
      <c r="D6" s="133">
        <v>45818</v>
      </c>
      <c r="E6" s="378">
        <v>45821</v>
      </c>
      <c r="F6" s="379"/>
      <c r="G6" s="134">
        <v>45825</v>
      </c>
      <c r="H6" s="380">
        <v>45846</v>
      </c>
      <c r="I6" s="381"/>
      <c r="J6" s="382">
        <v>45853</v>
      </c>
      <c r="K6" s="381"/>
      <c r="L6" s="382">
        <v>45853</v>
      </c>
      <c r="M6" s="373"/>
      <c r="N6" s="135">
        <v>45898</v>
      </c>
      <c r="O6" s="374">
        <v>45897</v>
      </c>
      <c r="P6" s="383"/>
      <c r="Q6" s="374">
        <v>45898</v>
      </c>
      <c r="R6" s="375">
        <v>45898</v>
      </c>
      <c r="S6" s="136">
        <v>45912</v>
      </c>
      <c r="T6" s="410">
        <v>45912</v>
      </c>
      <c r="U6" s="360"/>
      <c r="V6" s="410">
        <v>45912</v>
      </c>
      <c r="W6" s="360"/>
      <c r="X6" s="410">
        <v>45919</v>
      </c>
      <c r="Y6" s="360"/>
      <c r="Z6" s="410">
        <v>45919</v>
      </c>
      <c r="AA6" s="411"/>
      <c r="AB6" s="409"/>
      <c r="AC6" s="407"/>
      <c r="AD6" s="359"/>
      <c r="AE6" s="360"/>
      <c r="AF6" s="359"/>
      <c r="AG6" s="360"/>
      <c r="AH6" s="407"/>
      <c r="AI6" s="408"/>
      <c r="AJ6" s="409"/>
      <c r="AK6" s="407"/>
      <c r="AL6" s="359"/>
      <c r="AM6" s="360"/>
      <c r="AN6" s="359"/>
      <c r="AO6" s="360"/>
      <c r="AP6" s="407"/>
      <c r="AQ6" s="408"/>
    </row>
    <row r="7" spans="1:43" x14ac:dyDescent="0.25">
      <c r="A7" s="110"/>
      <c r="B7" s="114" t="s">
        <v>181</v>
      </c>
      <c r="C7" s="394">
        <v>45836</v>
      </c>
      <c r="D7" s="395"/>
      <c r="E7" s="395"/>
      <c r="F7" s="395"/>
      <c r="G7" s="396"/>
      <c r="H7" s="397">
        <v>45867</v>
      </c>
      <c r="I7" s="394"/>
      <c r="J7" s="394"/>
      <c r="K7" s="394"/>
      <c r="L7" s="394"/>
      <c r="M7" s="398"/>
      <c r="N7" s="399">
        <v>45897</v>
      </c>
      <c r="O7" s="400"/>
      <c r="P7" s="401"/>
      <c r="Q7" s="401"/>
      <c r="R7" s="402"/>
      <c r="S7" s="403">
        <v>45928</v>
      </c>
      <c r="T7" s="404"/>
      <c r="U7" s="405"/>
      <c r="V7" s="405"/>
      <c r="W7" s="405"/>
      <c r="X7" s="405"/>
      <c r="Y7" s="405"/>
      <c r="Z7" s="405"/>
      <c r="AA7" s="405"/>
      <c r="AB7" s="403">
        <v>45958</v>
      </c>
      <c r="AC7" s="405"/>
      <c r="AD7" s="405"/>
      <c r="AE7" s="405"/>
      <c r="AF7" s="405"/>
      <c r="AG7" s="405"/>
      <c r="AH7" s="405"/>
      <c r="AI7" s="406"/>
      <c r="AJ7" s="403">
        <v>45981</v>
      </c>
      <c r="AK7" s="405"/>
      <c r="AL7" s="405"/>
      <c r="AM7" s="405"/>
      <c r="AN7" s="405"/>
      <c r="AO7" s="405"/>
      <c r="AP7" s="405"/>
      <c r="AQ7" s="406"/>
    </row>
    <row r="8" spans="1:43" ht="16.5" thickBot="1" x14ac:dyDescent="0.3">
      <c r="A8" s="107" t="s">
        <v>243</v>
      </c>
      <c r="B8" s="115"/>
      <c r="C8" s="137"/>
      <c r="D8" s="138"/>
      <c r="E8" s="370"/>
      <c r="F8" s="371"/>
      <c r="G8" s="139"/>
      <c r="H8" s="372"/>
      <c r="I8" s="371"/>
      <c r="J8" s="370"/>
      <c r="K8" s="371"/>
      <c r="L8" s="370"/>
      <c r="M8" s="373"/>
      <c r="N8" s="135">
        <v>45898</v>
      </c>
      <c r="O8" s="374">
        <v>45898</v>
      </c>
      <c r="P8" s="375">
        <v>45898</v>
      </c>
      <c r="Q8" s="374">
        <v>45898</v>
      </c>
      <c r="R8" s="375">
        <v>45898</v>
      </c>
      <c r="S8" s="103"/>
      <c r="T8" s="359"/>
      <c r="U8" s="360"/>
      <c r="V8" s="359"/>
      <c r="W8" s="360"/>
      <c r="X8" s="359"/>
      <c r="Y8" s="360"/>
      <c r="Z8" s="140"/>
      <c r="AA8" s="140"/>
      <c r="AB8" s="368"/>
      <c r="AC8" s="369"/>
      <c r="AD8" s="359"/>
      <c r="AE8" s="360"/>
      <c r="AF8" s="359"/>
      <c r="AG8" s="360"/>
      <c r="AH8" s="359"/>
      <c r="AI8" s="361"/>
      <c r="AJ8" s="368"/>
      <c r="AK8" s="369"/>
      <c r="AL8" s="359"/>
      <c r="AM8" s="360"/>
      <c r="AN8" s="359"/>
      <c r="AO8" s="360"/>
      <c r="AP8" s="359"/>
      <c r="AQ8" s="361"/>
    </row>
    <row r="9" spans="1:43" ht="32.25" customHeight="1" x14ac:dyDescent="0.25">
      <c r="A9" s="141">
        <v>1</v>
      </c>
      <c r="B9" s="142" t="s">
        <v>122</v>
      </c>
      <c r="C9" s="104" t="s">
        <v>123</v>
      </c>
      <c r="D9" s="105" t="s">
        <v>123</v>
      </c>
      <c r="E9" s="362" t="s">
        <v>123</v>
      </c>
      <c r="F9" s="362"/>
      <c r="G9" s="106" t="s">
        <v>123</v>
      </c>
      <c r="H9" s="363" t="s">
        <v>123</v>
      </c>
      <c r="I9" s="364"/>
      <c r="J9" s="365" t="s">
        <v>123</v>
      </c>
      <c r="K9" s="365"/>
      <c r="L9" s="366" t="s">
        <v>123</v>
      </c>
      <c r="M9" s="367"/>
      <c r="N9" s="143" t="s">
        <v>123</v>
      </c>
      <c r="O9" s="366" t="s">
        <v>123</v>
      </c>
      <c r="P9" s="364"/>
      <c r="Q9" s="366" t="s">
        <v>123</v>
      </c>
      <c r="R9" s="367"/>
      <c r="S9" s="143" t="s">
        <v>123</v>
      </c>
      <c r="T9" s="366" t="s">
        <v>123</v>
      </c>
      <c r="U9" s="364"/>
      <c r="V9" s="366" t="s">
        <v>123</v>
      </c>
      <c r="W9" s="364"/>
      <c r="X9" s="366" t="s">
        <v>123</v>
      </c>
      <c r="Y9" s="364"/>
      <c r="Z9" s="366" t="s">
        <v>123</v>
      </c>
      <c r="AA9" s="384"/>
      <c r="AB9" s="377" t="s">
        <v>123</v>
      </c>
      <c r="AC9" s="365"/>
      <c r="AD9" s="365" t="s">
        <v>123</v>
      </c>
      <c r="AE9" s="365"/>
      <c r="AF9" s="365" t="s">
        <v>123</v>
      </c>
      <c r="AG9" s="365"/>
      <c r="AH9" s="365" t="s">
        <v>123</v>
      </c>
      <c r="AI9" s="376"/>
      <c r="AJ9" s="377" t="s">
        <v>123</v>
      </c>
      <c r="AK9" s="365"/>
      <c r="AL9" s="365" t="s">
        <v>123</v>
      </c>
      <c r="AM9" s="365"/>
      <c r="AN9" s="365" t="s">
        <v>123</v>
      </c>
      <c r="AO9" s="365"/>
      <c r="AP9" s="365" t="s">
        <v>123</v>
      </c>
      <c r="AQ9" s="376"/>
    </row>
    <row r="10" spans="1:43" ht="63.75" x14ac:dyDescent="0.25">
      <c r="A10" s="144">
        <v>2</v>
      </c>
      <c r="B10" s="145" t="s">
        <v>124</v>
      </c>
      <c r="C10" s="97" t="s">
        <v>156</v>
      </c>
      <c r="D10" s="98" t="s">
        <v>157</v>
      </c>
      <c r="E10" s="98" t="s">
        <v>154</v>
      </c>
      <c r="F10" s="98" t="s">
        <v>29</v>
      </c>
      <c r="G10" s="99" t="s">
        <v>188</v>
      </c>
      <c r="H10" s="119" t="s">
        <v>200</v>
      </c>
      <c r="I10" s="146" t="s">
        <v>173</v>
      </c>
      <c r="J10" s="78" t="s">
        <v>36</v>
      </c>
      <c r="K10" s="78" t="s">
        <v>201</v>
      </c>
      <c r="L10" s="119" t="s">
        <v>36</v>
      </c>
      <c r="M10" s="146" t="s">
        <v>173</v>
      </c>
      <c r="N10" s="147" t="s">
        <v>118</v>
      </c>
      <c r="O10" s="148" t="s">
        <v>29</v>
      </c>
      <c r="P10" s="149" t="s">
        <v>173</v>
      </c>
      <c r="Q10" s="150" t="s">
        <v>36</v>
      </c>
      <c r="R10" s="151" t="s">
        <v>173</v>
      </c>
      <c r="S10" s="152" t="s">
        <v>200</v>
      </c>
      <c r="T10" s="298" t="s">
        <v>57</v>
      </c>
      <c r="U10" s="299"/>
      <c r="V10" s="298" t="s">
        <v>57</v>
      </c>
      <c r="W10" s="299"/>
      <c r="X10" s="180" t="s">
        <v>227</v>
      </c>
      <c r="Y10" s="227" t="s">
        <v>261</v>
      </c>
      <c r="Z10" s="154" t="s">
        <v>36</v>
      </c>
      <c r="AA10" s="150" t="s">
        <v>173</v>
      </c>
      <c r="AB10" s="152" t="s">
        <v>200</v>
      </c>
      <c r="AC10" s="78" t="s">
        <v>173</v>
      </c>
      <c r="AD10" s="153" t="s">
        <v>200</v>
      </c>
      <c r="AE10" s="153" t="s">
        <v>173</v>
      </c>
      <c r="AF10" s="227" t="s">
        <v>173</v>
      </c>
      <c r="AG10" s="226" t="s">
        <v>29</v>
      </c>
      <c r="AH10" s="229" t="s">
        <v>261</v>
      </c>
      <c r="AI10" s="175" t="s">
        <v>36</v>
      </c>
      <c r="AJ10" s="155" t="s">
        <v>200</v>
      </c>
      <c r="AK10" s="156" t="s">
        <v>173</v>
      </c>
      <c r="AL10" s="157" t="s">
        <v>200</v>
      </c>
      <c r="AM10" s="158" t="s">
        <v>173</v>
      </c>
      <c r="AN10" s="157" t="s">
        <v>80</v>
      </c>
      <c r="AO10" s="158" t="s">
        <v>173</v>
      </c>
      <c r="AP10" s="157" t="s">
        <v>200</v>
      </c>
      <c r="AQ10" s="159" t="s">
        <v>173</v>
      </c>
    </row>
    <row r="11" spans="1:43" ht="24" x14ac:dyDescent="0.25">
      <c r="A11" s="144">
        <v>3</v>
      </c>
      <c r="B11" s="145" t="s">
        <v>126</v>
      </c>
      <c r="C11" s="97" t="s">
        <v>127</v>
      </c>
      <c r="D11" s="98" t="s">
        <v>127</v>
      </c>
      <c r="E11" s="332" t="s">
        <v>127</v>
      </c>
      <c r="F11" s="332"/>
      <c r="G11" s="99" t="s">
        <v>127</v>
      </c>
      <c r="H11" s="333" t="s">
        <v>127</v>
      </c>
      <c r="I11" s="299"/>
      <c r="J11" s="281" t="s">
        <v>127</v>
      </c>
      <c r="K11" s="281"/>
      <c r="L11" s="298" t="s">
        <v>127</v>
      </c>
      <c r="M11" s="334"/>
      <c r="N11" s="160" t="s">
        <v>127</v>
      </c>
      <c r="O11" s="298" t="s">
        <v>127</v>
      </c>
      <c r="P11" s="299"/>
      <c r="Q11" s="298" t="s">
        <v>127</v>
      </c>
      <c r="R11" s="334"/>
      <c r="S11" s="179" t="s">
        <v>127</v>
      </c>
      <c r="T11" s="298" t="s">
        <v>127</v>
      </c>
      <c r="U11" s="299"/>
      <c r="V11" s="358" t="s">
        <v>228</v>
      </c>
      <c r="W11" s="355"/>
      <c r="X11" s="298" t="s">
        <v>127</v>
      </c>
      <c r="Y11" s="299"/>
      <c r="Z11" s="298" t="s">
        <v>127</v>
      </c>
      <c r="AA11" s="321"/>
      <c r="AB11" s="353" t="s">
        <v>127</v>
      </c>
      <c r="AC11" s="351"/>
      <c r="AD11" s="351" t="s">
        <v>127</v>
      </c>
      <c r="AE11" s="351"/>
      <c r="AF11" s="351" t="s">
        <v>127</v>
      </c>
      <c r="AG11" s="351"/>
      <c r="AH11" s="351" t="s">
        <v>127</v>
      </c>
      <c r="AI11" s="352"/>
      <c r="AJ11" s="325" t="s">
        <v>127</v>
      </c>
      <c r="AK11" s="311"/>
      <c r="AL11" s="311" t="s">
        <v>127</v>
      </c>
      <c r="AM11" s="311"/>
      <c r="AN11" s="311" t="s">
        <v>127</v>
      </c>
      <c r="AO11" s="311"/>
      <c r="AP11" s="311" t="s">
        <v>127</v>
      </c>
      <c r="AQ11" s="312"/>
    </row>
    <row r="12" spans="1:43" ht="33" customHeight="1" x14ac:dyDescent="0.25">
      <c r="A12" s="144">
        <v>4</v>
      </c>
      <c r="B12" s="145" t="s">
        <v>128</v>
      </c>
      <c r="C12" s="97" t="s">
        <v>129</v>
      </c>
      <c r="D12" s="98" t="s">
        <v>129</v>
      </c>
      <c r="E12" s="339" t="s">
        <v>129</v>
      </c>
      <c r="F12" s="340"/>
      <c r="G12" s="99" t="s">
        <v>129</v>
      </c>
      <c r="H12" s="333" t="s">
        <v>129</v>
      </c>
      <c r="I12" s="299"/>
      <c r="J12" s="298" t="s">
        <v>129</v>
      </c>
      <c r="K12" s="299"/>
      <c r="L12" s="298" t="s">
        <v>129</v>
      </c>
      <c r="M12" s="334"/>
      <c r="N12" s="160" t="s">
        <v>129</v>
      </c>
      <c r="O12" s="298" t="s">
        <v>129</v>
      </c>
      <c r="P12" s="299"/>
      <c r="Q12" s="298" t="s">
        <v>129</v>
      </c>
      <c r="R12" s="334"/>
      <c r="S12" s="160" t="s">
        <v>129</v>
      </c>
      <c r="T12" s="298" t="s">
        <v>129</v>
      </c>
      <c r="U12" s="299"/>
      <c r="V12" s="298" t="s">
        <v>129</v>
      </c>
      <c r="W12" s="299"/>
      <c r="X12" s="298" t="s">
        <v>129</v>
      </c>
      <c r="Y12" s="299"/>
      <c r="Z12" s="298" t="s">
        <v>129</v>
      </c>
      <c r="AA12" s="334"/>
      <c r="AB12" s="333" t="s">
        <v>129</v>
      </c>
      <c r="AC12" s="299"/>
      <c r="AD12" s="298" t="s">
        <v>129</v>
      </c>
      <c r="AE12" s="299"/>
      <c r="AF12" s="298" t="s">
        <v>129</v>
      </c>
      <c r="AG12" s="299"/>
      <c r="AH12" s="350" t="s">
        <v>232</v>
      </c>
      <c r="AI12" s="342"/>
      <c r="AJ12" s="345" t="s">
        <v>129</v>
      </c>
      <c r="AK12" s="346"/>
      <c r="AL12" s="337" t="s">
        <v>129</v>
      </c>
      <c r="AM12" s="346"/>
      <c r="AN12" s="337" t="s">
        <v>129</v>
      </c>
      <c r="AO12" s="346"/>
      <c r="AP12" s="337" t="s">
        <v>129</v>
      </c>
      <c r="AQ12" s="338"/>
    </row>
    <row r="13" spans="1:43" ht="48" x14ac:dyDescent="0.25">
      <c r="A13" s="144">
        <v>5</v>
      </c>
      <c r="B13" s="145" t="s">
        <v>130</v>
      </c>
      <c r="C13" s="97" t="s">
        <v>129</v>
      </c>
      <c r="D13" s="98" t="s">
        <v>129</v>
      </c>
      <c r="E13" s="339" t="s">
        <v>129</v>
      </c>
      <c r="F13" s="340"/>
      <c r="G13" s="99" t="s">
        <v>129</v>
      </c>
      <c r="H13" s="333" t="s">
        <v>129</v>
      </c>
      <c r="I13" s="299"/>
      <c r="J13" s="298" t="s">
        <v>129</v>
      </c>
      <c r="K13" s="299"/>
      <c r="L13" s="298" t="s">
        <v>129</v>
      </c>
      <c r="M13" s="334"/>
      <c r="N13" s="160" t="s">
        <v>129</v>
      </c>
      <c r="O13" s="298" t="s">
        <v>129</v>
      </c>
      <c r="P13" s="299"/>
      <c r="Q13" s="298" t="s">
        <v>129</v>
      </c>
      <c r="R13" s="334"/>
      <c r="S13" s="160" t="s">
        <v>129</v>
      </c>
      <c r="T13" s="298" t="s">
        <v>129</v>
      </c>
      <c r="U13" s="299"/>
      <c r="V13" s="298" t="s">
        <v>129</v>
      </c>
      <c r="W13" s="299"/>
      <c r="X13" s="298" t="s">
        <v>129</v>
      </c>
      <c r="Y13" s="299"/>
      <c r="Z13" s="298" t="s">
        <v>129</v>
      </c>
      <c r="AA13" s="334"/>
      <c r="AB13" s="333" t="s">
        <v>129</v>
      </c>
      <c r="AC13" s="299"/>
      <c r="AD13" s="298" t="s">
        <v>129</v>
      </c>
      <c r="AE13" s="299"/>
      <c r="AF13" s="298" t="s">
        <v>129</v>
      </c>
      <c r="AG13" s="299"/>
      <c r="AH13" s="298" t="s">
        <v>129</v>
      </c>
      <c r="AI13" s="334"/>
      <c r="AJ13" s="345" t="s">
        <v>129</v>
      </c>
      <c r="AK13" s="346"/>
      <c r="AL13" s="337" t="s">
        <v>129</v>
      </c>
      <c r="AM13" s="346"/>
      <c r="AN13" s="337" t="s">
        <v>129</v>
      </c>
      <c r="AO13" s="346"/>
      <c r="AP13" s="337" t="s">
        <v>129</v>
      </c>
      <c r="AQ13" s="338"/>
    </row>
    <row r="14" spans="1:43" ht="29.25" customHeight="1" x14ac:dyDescent="0.25">
      <c r="A14" s="144">
        <v>6</v>
      </c>
      <c r="B14" s="145" t="s">
        <v>131</v>
      </c>
      <c r="C14" s="97" t="s">
        <v>132</v>
      </c>
      <c r="D14" s="98" t="s">
        <v>132</v>
      </c>
      <c r="E14" s="339" t="s">
        <v>132</v>
      </c>
      <c r="F14" s="340"/>
      <c r="G14" s="99" t="s">
        <v>132</v>
      </c>
      <c r="H14" s="333" t="s">
        <v>132</v>
      </c>
      <c r="I14" s="299"/>
      <c r="J14" s="298" t="s">
        <v>132</v>
      </c>
      <c r="K14" s="299"/>
      <c r="L14" s="298" t="s">
        <v>132</v>
      </c>
      <c r="M14" s="334"/>
      <c r="N14" s="160" t="s">
        <v>132</v>
      </c>
      <c r="O14" s="298" t="s">
        <v>132</v>
      </c>
      <c r="P14" s="299"/>
      <c r="Q14" s="298" t="s">
        <v>132</v>
      </c>
      <c r="R14" s="334"/>
      <c r="S14" s="179" t="s">
        <v>132</v>
      </c>
      <c r="T14" s="298" t="s">
        <v>132</v>
      </c>
      <c r="U14" s="299"/>
      <c r="V14" s="298" t="s">
        <v>132</v>
      </c>
      <c r="W14" s="299"/>
      <c r="X14" s="298" t="s">
        <v>132</v>
      </c>
      <c r="Y14" s="299"/>
      <c r="Z14" s="298" t="s">
        <v>132</v>
      </c>
      <c r="AA14" s="334"/>
      <c r="AB14" s="354" t="s">
        <v>132</v>
      </c>
      <c r="AC14" s="355"/>
      <c r="AD14" s="356" t="s">
        <v>132</v>
      </c>
      <c r="AE14" s="355"/>
      <c r="AF14" s="356" t="s">
        <v>132</v>
      </c>
      <c r="AG14" s="355"/>
      <c r="AH14" s="356" t="s">
        <v>132</v>
      </c>
      <c r="AI14" s="357"/>
      <c r="AJ14" s="345" t="s">
        <v>132</v>
      </c>
      <c r="AK14" s="346"/>
      <c r="AL14" s="337" t="s">
        <v>132</v>
      </c>
      <c r="AM14" s="346"/>
      <c r="AN14" s="337" t="s">
        <v>132</v>
      </c>
      <c r="AO14" s="346"/>
      <c r="AP14" s="337" t="s">
        <v>132</v>
      </c>
      <c r="AQ14" s="338"/>
    </row>
    <row r="15" spans="1:43" ht="29.25" customHeight="1" x14ac:dyDescent="0.25">
      <c r="A15" s="144">
        <v>7</v>
      </c>
      <c r="B15" s="145" t="s">
        <v>133</v>
      </c>
      <c r="C15" s="97" t="s">
        <v>127</v>
      </c>
      <c r="D15" s="98" t="s">
        <v>127</v>
      </c>
      <c r="E15" s="332" t="s">
        <v>127</v>
      </c>
      <c r="F15" s="332"/>
      <c r="G15" s="161">
        <f>Seguimiento!S30</f>
        <v>0.33333333333333331</v>
      </c>
      <c r="H15" s="333" t="s">
        <v>127</v>
      </c>
      <c r="I15" s="299"/>
      <c r="J15" s="281" t="s">
        <v>127</v>
      </c>
      <c r="K15" s="281"/>
      <c r="L15" s="298" t="s">
        <v>127</v>
      </c>
      <c r="M15" s="334"/>
      <c r="N15" s="160" t="s">
        <v>127</v>
      </c>
      <c r="O15" s="298" t="s">
        <v>127</v>
      </c>
      <c r="P15" s="299"/>
      <c r="Q15" s="298" t="s">
        <v>127</v>
      </c>
      <c r="R15" s="334"/>
      <c r="S15" s="160" t="s">
        <v>127</v>
      </c>
      <c r="T15" s="298" t="s">
        <v>127</v>
      </c>
      <c r="U15" s="299"/>
      <c r="V15" s="298" t="s">
        <v>127</v>
      </c>
      <c r="W15" s="299"/>
      <c r="X15" s="298" t="s">
        <v>127</v>
      </c>
      <c r="Y15" s="299"/>
      <c r="Z15" s="298" t="s">
        <v>127</v>
      </c>
      <c r="AA15" s="321"/>
      <c r="AB15" s="322" t="s">
        <v>127</v>
      </c>
      <c r="AC15" s="281"/>
      <c r="AD15" s="281" t="s">
        <v>127</v>
      </c>
      <c r="AE15" s="281"/>
      <c r="AF15" s="281" t="s">
        <v>127</v>
      </c>
      <c r="AG15" s="281"/>
      <c r="AH15" s="281" t="s">
        <v>127</v>
      </c>
      <c r="AI15" s="324"/>
      <c r="AJ15" s="325" t="s">
        <v>127</v>
      </c>
      <c r="AK15" s="311"/>
      <c r="AL15" s="311" t="s">
        <v>127</v>
      </c>
      <c r="AM15" s="311"/>
      <c r="AN15" s="311" t="s">
        <v>127</v>
      </c>
      <c r="AO15" s="311"/>
      <c r="AP15" s="311" t="s">
        <v>127</v>
      </c>
      <c r="AQ15" s="312"/>
    </row>
    <row r="16" spans="1:43" ht="30.75" customHeight="1" x14ac:dyDescent="0.25">
      <c r="A16" s="144">
        <v>8</v>
      </c>
      <c r="B16" s="145" t="s">
        <v>134</v>
      </c>
      <c r="C16" s="97" t="s">
        <v>127</v>
      </c>
      <c r="D16" s="98" t="s">
        <v>127</v>
      </c>
      <c r="E16" s="332" t="s">
        <v>127</v>
      </c>
      <c r="F16" s="332"/>
      <c r="G16" s="161">
        <f>Seguimiento!X30</f>
        <v>0.27777777777777779</v>
      </c>
      <c r="H16" s="333" t="s">
        <v>127</v>
      </c>
      <c r="I16" s="299"/>
      <c r="J16" s="281" t="s">
        <v>127</v>
      </c>
      <c r="K16" s="281"/>
      <c r="L16" s="298" t="s">
        <v>127</v>
      </c>
      <c r="M16" s="334"/>
      <c r="N16" s="160" t="s">
        <v>127</v>
      </c>
      <c r="O16" s="298" t="s">
        <v>127</v>
      </c>
      <c r="P16" s="299"/>
      <c r="Q16" s="298" t="s">
        <v>127</v>
      </c>
      <c r="R16" s="334"/>
      <c r="S16" s="181" t="s">
        <v>230</v>
      </c>
      <c r="T16" s="298" t="s">
        <v>127</v>
      </c>
      <c r="U16" s="299"/>
      <c r="V16" s="298" t="s">
        <v>127</v>
      </c>
      <c r="W16" s="299"/>
      <c r="X16" s="298" t="s">
        <v>127</v>
      </c>
      <c r="Y16" s="299"/>
      <c r="Z16" s="298" t="s">
        <v>127</v>
      </c>
      <c r="AA16" s="321"/>
      <c r="AB16" s="353" t="s">
        <v>127</v>
      </c>
      <c r="AC16" s="351"/>
      <c r="AD16" s="351" t="s">
        <v>127</v>
      </c>
      <c r="AE16" s="351"/>
      <c r="AF16" s="351" t="s">
        <v>127</v>
      </c>
      <c r="AG16" s="351"/>
      <c r="AH16" s="351" t="s">
        <v>127</v>
      </c>
      <c r="AI16" s="352"/>
      <c r="AJ16" s="325" t="s">
        <v>127</v>
      </c>
      <c r="AK16" s="311"/>
      <c r="AL16" s="311" t="s">
        <v>127</v>
      </c>
      <c r="AM16" s="311"/>
      <c r="AN16" s="311" t="s">
        <v>127</v>
      </c>
      <c r="AO16" s="311"/>
      <c r="AP16" s="311" t="s">
        <v>127</v>
      </c>
      <c r="AQ16" s="312"/>
    </row>
    <row r="17" spans="1:43" ht="32.25" customHeight="1" x14ac:dyDescent="0.25">
      <c r="A17" s="144">
        <v>9</v>
      </c>
      <c r="B17" s="145" t="s">
        <v>135</v>
      </c>
      <c r="C17" s="97" t="s">
        <v>127</v>
      </c>
      <c r="D17" s="98" t="s">
        <v>127</v>
      </c>
      <c r="E17" s="332" t="s">
        <v>127</v>
      </c>
      <c r="F17" s="332"/>
      <c r="G17" s="161">
        <f>Seguimiento!T30</f>
        <v>0.27777777777777779</v>
      </c>
      <c r="H17" s="333" t="s">
        <v>127</v>
      </c>
      <c r="I17" s="299"/>
      <c r="J17" s="281" t="s">
        <v>127</v>
      </c>
      <c r="K17" s="281"/>
      <c r="L17" s="298" t="s">
        <v>127</v>
      </c>
      <c r="M17" s="334"/>
      <c r="N17" s="160" t="s">
        <v>127</v>
      </c>
      <c r="O17" s="298" t="s">
        <v>127</v>
      </c>
      <c r="P17" s="299"/>
      <c r="Q17" s="298" t="s">
        <v>127</v>
      </c>
      <c r="R17" s="334"/>
      <c r="S17" s="160" t="s">
        <v>127</v>
      </c>
      <c r="T17" s="298" t="s">
        <v>127</v>
      </c>
      <c r="U17" s="299"/>
      <c r="V17" s="298" t="s">
        <v>127</v>
      </c>
      <c r="W17" s="299"/>
      <c r="X17" s="298" t="s">
        <v>127</v>
      </c>
      <c r="Y17" s="299"/>
      <c r="Z17" s="298" t="s">
        <v>127</v>
      </c>
      <c r="AA17" s="321"/>
      <c r="AB17" s="322" t="s">
        <v>127</v>
      </c>
      <c r="AC17" s="281"/>
      <c r="AD17" s="281" t="s">
        <v>127</v>
      </c>
      <c r="AE17" s="281"/>
      <c r="AF17" s="281" t="s">
        <v>127</v>
      </c>
      <c r="AG17" s="281"/>
      <c r="AH17" s="281" t="s">
        <v>127</v>
      </c>
      <c r="AI17" s="324"/>
      <c r="AJ17" s="322" t="s">
        <v>127</v>
      </c>
      <c r="AK17" s="281"/>
      <c r="AL17" s="281" t="s">
        <v>127</v>
      </c>
      <c r="AM17" s="281"/>
      <c r="AN17" s="281" t="s">
        <v>127</v>
      </c>
      <c r="AO17" s="281"/>
      <c r="AP17" s="281" t="s">
        <v>127</v>
      </c>
      <c r="AQ17" s="324"/>
    </row>
    <row r="18" spans="1:43" ht="28.5" customHeight="1" x14ac:dyDescent="0.25">
      <c r="A18" s="144">
        <v>10</v>
      </c>
      <c r="B18" s="145" t="s">
        <v>136</v>
      </c>
      <c r="C18" s="97" t="s">
        <v>127</v>
      </c>
      <c r="D18" s="98" t="s">
        <v>127</v>
      </c>
      <c r="E18" s="332" t="s">
        <v>127</v>
      </c>
      <c r="F18" s="332"/>
      <c r="G18" s="161">
        <f>Seguimiento!V30</f>
        <v>0.27777777777777779</v>
      </c>
      <c r="H18" s="333" t="s">
        <v>127</v>
      </c>
      <c r="I18" s="299"/>
      <c r="J18" s="281" t="s">
        <v>127</v>
      </c>
      <c r="K18" s="281"/>
      <c r="L18" s="298" t="s">
        <v>127</v>
      </c>
      <c r="M18" s="334"/>
      <c r="N18" s="160" t="s">
        <v>127</v>
      </c>
      <c r="O18" s="298" t="s">
        <v>127</v>
      </c>
      <c r="P18" s="299"/>
      <c r="Q18" s="298" t="s">
        <v>127</v>
      </c>
      <c r="R18" s="334"/>
      <c r="S18" s="160" t="s">
        <v>127</v>
      </c>
      <c r="T18" s="298" t="s">
        <v>127</v>
      </c>
      <c r="U18" s="299"/>
      <c r="V18" s="298" t="s">
        <v>127</v>
      </c>
      <c r="W18" s="299"/>
      <c r="X18" s="298" t="s">
        <v>127</v>
      </c>
      <c r="Y18" s="299"/>
      <c r="Z18" s="298" t="s">
        <v>127</v>
      </c>
      <c r="AA18" s="321"/>
      <c r="AB18" s="322" t="s">
        <v>127</v>
      </c>
      <c r="AC18" s="281"/>
      <c r="AD18" s="281" t="s">
        <v>127</v>
      </c>
      <c r="AE18" s="281"/>
      <c r="AF18" s="281" t="s">
        <v>127</v>
      </c>
      <c r="AG18" s="281"/>
      <c r="AH18" s="281" t="s">
        <v>127</v>
      </c>
      <c r="AI18" s="324"/>
      <c r="AJ18" s="322" t="s">
        <v>127</v>
      </c>
      <c r="AK18" s="281"/>
      <c r="AL18" s="281" t="s">
        <v>127</v>
      </c>
      <c r="AM18" s="281"/>
      <c r="AN18" s="281" t="s">
        <v>127</v>
      </c>
      <c r="AO18" s="281"/>
      <c r="AP18" s="281" t="s">
        <v>127</v>
      </c>
      <c r="AQ18" s="324"/>
    </row>
    <row r="19" spans="1:43" ht="29.25" customHeight="1" x14ac:dyDescent="0.25">
      <c r="A19" s="144">
        <v>11</v>
      </c>
      <c r="B19" s="145" t="s">
        <v>137</v>
      </c>
      <c r="C19" s="97" t="s">
        <v>132</v>
      </c>
      <c r="D19" s="98" t="s">
        <v>132</v>
      </c>
      <c r="E19" s="339" t="s">
        <v>132</v>
      </c>
      <c r="F19" s="340"/>
      <c r="G19" s="161">
        <f>Seguimiento!Z30</f>
        <v>0.21052631578947367</v>
      </c>
      <c r="H19" s="333" t="s">
        <v>132</v>
      </c>
      <c r="I19" s="299"/>
      <c r="J19" s="347" t="s">
        <v>132</v>
      </c>
      <c r="K19" s="348"/>
      <c r="L19" s="347" t="s">
        <v>132</v>
      </c>
      <c r="M19" s="349"/>
      <c r="N19" s="160" t="s">
        <v>132</v>
      </c>
      <c r="O19" s="298" t="s">
        <v>132</v>
      </c>
      <c r="P19" s="299"/>
      <c r="Q19" s="298" t="s">
        <v>132</v>
      </c>
      <c r="R19" s="334"/>
      <c r="S19" s="162" t="s">
        <v>132</v>
      </c>
      <c r="T19" s="341" t="s">
        <v>132</v>
      </c>
      <c r="U19" s="344"/>
      <c r="V19" s="350" t="s">
        <v>229</v>
      </c>
      <c r="W19" s="344"/>
      <c r="X19" s="341" t="s">
        <v>132</v>
      </c>
      <c r="Y19" s="344"/>
      <c r="Z19" s="341" t="s">
        <v>132</v>
      </c>
      <c r="AA19" s="342"/>
      <c r="AB19" s="343" t="s">
        <v>132</v>
      </c>
      <c r="AC19" s="344"/>
      <c r="AD19" s="341" t="s">
        <v>132</v>
      </c>
      <c r="AE19" s="344"/>
      <c r="AF19" s="341" t="s">
        <v>132</v>
      </c>
      <c r="AG19" s="344"/>
      <c r="AH19" s="341" t="s">
        <v>132</v>
      </c>
      <c r="AI19" s="342"/>
      <c r="AJ19" s="345" t="s">
        <v>132</v>
      </c>
      <c r="AK19" s="346"/>
      <c r="AL19" s="337" t="s">
        <v>132</v>
      </c>
      <c r="AM19" s="346"/>
      <c r="AN19" s="337" t="s">
        <v>132</v>
      </c>
      <c r="AO19" s="346"/>
      <c r="AP19" s="337" t="s">
        <v>132</v>
      </c>
      <c r="AQ19" s="338"/>
    </row>
    <row r="20" spans="1:43" ht="24.75" customHeight="1" x14ac:dyDescent="0.25">
      <c r="A20" s="144">
        <v>12</v>
      </c>
      <c r="B20" s="145" t="s">
        <v>138</v>
      </c>
      <c r="C20" s="97" t="s">
        <v>139</v>
      </c>
      <c r="D20" s="98" t="s">
        <v>139</v>
      </c>
      <c r="E20" s="339" t="s">
        <v>139</v>
      </c>
      <c r="F20" s="340"/>
      <c r="G20" s="99" t="s">
        <v>139</v>
      </c>
      <c r="H20" s="333" t="s">
        <v>139</v>
      </c>
      <c r="I20" s="299"/>
      <c r="J20" s="298" t="s">
        <v>139</v>
      </c>
      <c r="K20" s="299"/>
      <c r="L20" s="298" t="s">
        <v>139</v>
      </c>
      <c r="M20" s="334"/>
      <c r="N20" s="160" t="s">
        <v>139</v>
      </c>
      <c r="O20" s="298" t="s">
        <v>139</v>
      </c>
      <c r="P20" s="299"/>
      <c r="Q20" s="298" t="s">
        <v>139</v>
      </c>
      <c r="R20" s="334"/>
      <c r="S20" s="160" t="s">
        <v>139</v>
      </c>
      <c r="T20" s="298" t="s">
        <v>139</v>
      </c>
      <c r="U20" s="299"/>
      <c r="V20" s="298" t="s">
        <v>139</v>
      </c>
      <c r="W20" s="299"/>
      <c r="X20" s="298" t="s">
        <v>139</v>
      </c>
      <c r="Y20" s="299"/>
      <c r="Z20" s="298" t="s">
        <v>139</v>
      </c>
      <c r="AA20" s="334"/>
      <c r="AB20" s="333" t="s">
        <v>139</v>
      </c>
      <c r="AC20" s="299"/>
      <c r="AD20" s="298" t="s">
        <v>139</v>
      </c>
      <c r="AE20" s="299"/>
      <c r="AF20" s="298" t="s">
        <v>139</v>
      </c>
      <c r="AG20" s="299"/>
      <c r="AH20" s="298" t="s">
        <v>139</v>
      </c>
      <c r="AI20" s="334"/>
      <c r="AJ20" s="345" t="s">
        <v>139</v>
      </c>
      <c r="AK20" s="346"/>
      <c r="AL20" s="337" t="s">
        <v>139</v>
      </c>
      <c r="AM20" s="346"/>
      <c r="AN20" s="337" t="s">
        <v>139</v>
      </c>
      <c r="AO20" s="346"/>
      <c r="AP20" s="337" t="s">
        <v>139</v>
      </c>
      <c r="AQ20" s="338"/>
    </row>
    <row r="21" spans="1:43" ht="24.75" customHeight="1" x14ac:dyDescent="0.25">
      <c r="A21" s="144">
        <v>13</v>
      </c>
      <c r="B21" s="145" t="s">
        <v>140</v>
      </c>
      <c r="C21" s="97" t="s">
        <v>127</v>
      </c>
      <c r="D21" s="98" t="s">
        <v>127</v>
      </c>
      <c r="E21" s="332" t="s">
        <v>127</v>
      </c>
      <c r="F21" s="332"/>
      <c r="G21" s="99" t="s">
        <v>127</v>
      </c>
      <c r="H21" s="333" t="s">
        <v>127</v>
      </c>
      <c r="I21" s="299"/>
      <c r="J21" s="281" t="s">
        <v>127</v>
      </c>
      <c r="K21" s="281"/>
      <c r="L21" s="298" t="s">
        <v>127</v>
      </c>
      <c r="M21" s="334"/>
      <c r="N21" s="160" t="s">
        <v>127</v>
      </c>
      <c r="O21" s="298" t="s">
        <v>127</v>
      </c>
      <c r="P21" s="299"/>
      <c r="Q21" s="298" t="s">
        <v>127</v>
      </c>
      <c r="R21" s="334"/>
      <c r="S21" s="160" t="s">
        <v>127</v>
      </c>
      <c r="T21" s="298" t="s">
        <v>127</v>
      </c>
      <c r="U21" s="299"/>
      <c r="V21" s="298" t="s">
        <v>127</v>
      </c>
      <c r="W21" s="299"/>
      <c r="X21" s="298" t="s">
        <v>127</v>
      </c>
      <c r="Y21" s="299"/>
      <c r="Z21" s="298" t="s">
        <v>127</v>
      </c>
      <c r="AA21" s="321"/>
      <c r="AB21" s="322" t="s">
        <v>127</v>
      </c>
      <c r="AC21" s="281"/>
      <c r="AD21" s="281" t="s">
        <v>127</v>
      </c>
      <c r="AE21" s="281"/>
      <c r="AF21" s="281" t="s">
        <v>127</v>
      </c>
      <c r="AG21" s="281"/>
      <c r="AH21" s="281" t="s">
        <v>127</v>
      </c>
      <c r="AI21" s="324"/>
      <c r="AJ21" s="325" t="s">
        <v>127</v>
      </c>
      <c r="AK21" s="311"/>
      <c r="AL21" s="311" t="s">
        <v>127</v>
      </c>
      <c r="AM21" s="311"/>
      <c r="AN21" s="311" t="s">
        <v>127</v>
      </c>
      <c r="AO21" s="311"/>
      <c r="AP21" s="311" t="s">
        <v>127</v>
      </c>
      <c r="AQ21" s="312"/>
    </row>
    <row r="22" spans="1:43" ht="24" x14ac:dyDescent="0.25">
      <c r="A22" s="144">
        <v>14</v>
      </c>
      <c r="B22" s="145" t="s">
        <v>141</v>
      </c>
      <c r="C22" s="97" t="s">
        <v>129</v>
      </c>
      <c r="D22" s="98" t="s">
        <v>129</v>
      </c>
      <c r="E22" s="332" t="s">
        <v>129</v>
      </c>
      <c r="F22" s="332"/>
      <c r="G22" s="99" t="s">
        <v>129</v>
      </c>
      <c r="H22" s="333" t="s">
        <v>129</v>
      </c>
      <c r="I22" s="299"/>
      <c r="J22" s="281" t="s">
        <v>129</v>
      </c>
      <c r="K22" s="281"/>
      <c r="L22" s="298" t="s">
        <v>129</v>
      </c>
      <c r="M22" s="334"/>
      <c r="N22" s="160" t="s">
        <v>129</v>
      </c>
      <c r="O22" s="298" t="s">
        <v>129</v>
      </c>
      <c r="P22" s="299"/>
      <c r="Q22" s="298" t="s">
        <v>129</v>
      </c>
      <c r="R22" s="334"/>
      <c r="S22" s="160" t="s">
        <v>129</v>
      </c>
      <c r="T22" s="298" t="s">
        <v>129</v>
      </c>
      <c r="U22" s="299"/>
      <c r="V22" s="298" t="s">
        <v>129</v>
      </c>
      <c r="W22" s="299"/>
      <c r="X22" s="298" t="s">
        <v>129</v>
      </c>
      <c r="Y22" s="299"/>
      <c r="Z22" s="298" t="s">
        <v>129</v>
      </c>
      <c r="AA22" s="321"/>
      <c r="AB22" s="335" t="s">
        <v>129</v>
      </c>
      <c r="AC22" s="336"/>
      <c r="AD22" s="281" t="s">
        <v>129</v>
      </c>
      <c r="AE22" s="281"/>
      <c r="AF22" s="281" t="s">
        <v>129</v>
      </c>
      <c r="AG22" s="281"/>
      <c r="AH22" s="281" t="s">
        <v>129</v>
      </c>
      <c r="AI22" s="324"/>
      <c r="AJ22" s="325" t="s">
        <v>129</v>
      </c>
      <c r="AK22" s="311"/>
      <c r="AL22" s="311" t="s">
        <v>129</v>
      </c>
      <c r="AM22" s="311"/>
      <c r="AN22" s="311" t="s">
        <v>129</v>
      </c>
      <c r="AO22" s="311"/>
      <c r="AP22" s="311" t="s">
        <v>129</v>
      </c>
      <c r="AQ22" s="312"/>
    </row>
    <row r="23" spans="1:43" ht="36" x14ac:dyDescent="0.25">
      <c r="A23" s="144">
        <v>15</v>
      </c>
      <c r="B23" s="145" t="s">
        <v>142</v>
      </c>
      <c r="C23" s="97" t="s">
        <v>127</v>
      </c>
      <c r="D23" s="98" t="s">
        <v>127</v>
      </c>
      <c r="E23" s="332" t="s">
        <v>127</v>
      </c>
      <c r="F23" s="332"/>
      <c r="G23" s="99" t="s">
        <v>127</v>
      </c>
      <c r="H23" s="333" t="s">
        <v>127</v>
      </c>
      <c r="I23" s="299"/>
      <c r="J23" s="281" t="s">
        <v>127</v>
      </c>
      <c r="K23" s="281"/>
      <c r="L23" s="298" t="s">
        <v>127</v>
      </c>
      <c r="M23" s="334"/>
      <c r="N23" s="160" t="s">
        <v>202</v>
      </c>
      <c r="O23" s="298" t="s">
        <v>202</v>
      </c>
      <c r="P23" s="299" t="s">
        <v>202</v>
      </c>
      <c r="Q23" s="298" t="s">
        <v>202</v>
      </c>
      <c r="R23" s="334" t="s">
        <v>202</v>
      </c>
      <c r="S23" s="160" t="s">
        <v>202</v>
      </c>
      <c r="T23" s="298" t="s">
        <v>202</v>
      </c>
      <c r="U23" s="299"/>
      <c r="V23" s="298" t="s">
        <v>202</v>
      </c>
      <c r="W23" s="299"/>
      <c r="X23" s="298" t="s">
        <v>202</v>
      </c>
      <c r="Y23" s="299"/>
      <c r="Z23" s="298" t="s">
        <v>202</v>
      </c>
      <c r="AA23" s="321"/>
      <c r="AB23" s="322" t="s">
        <v>202</v>
      </c>
      <c r="AC23" s="281"/>
      <c r="AD23" s="281" t="s">
        <v>202</v>
      </c>
      <c r="AE23" s="281"/>
      <c r="AF23" s="281" t="s">
        <v>202</v>
      </c>
      <c r="AG23" s="281"/>
      <c r="AH23" s="281" t="s">
        <v>202</v>
      </c>
      <c r="AI23" s="324"/>
      <c r="AJ23" s="325" t="s">
        <v>202</v>
      </c>
      <c r="AK23" s="311"/>
      <c r="AL23" s="311" t="s">
        <v>202</v>
      </c>
      <c r="AM23" s="311"/>
      <c r="AN23" s="311" t="s">
        <v>202</v>
      </c>
      <c r="AO23" s="311"/>
      <c r="AP23" s="311" t="s">
        <v>202</v>
      </c>
      <c r="AQ23" s="312"/>
    </row>
    <row r="24" spans="1:43" ht="31.5" customHeight="1" x14ac:dyDescent="0.25">
      <c r="A24" s="144">
        <v>16</v>
      </c>
      <c r="B24" s="145" t="s">
        <v>143</v>
      </c>
      <c r="C24" s="97" t="s">
        <v>127</v>
      </c>
      <c r="D24" s="98" t="s">
        <v>127</v>
      </c>
      <c r="E24" s="332" t="s">
        <v>127</v>
      </c>
      <c r="F24" s="332"/>
      <c r="G24" s="99" t="s">
        <v>127</v>
      </c>
      <c r="H24" s="333" t="s">
        <v>127</v>
      </c>
      <c r="I24" s="299"/>
      <c r="J24" s="281" t="s">
        <v>127</v>
      </c>
      <c r="K24" s="281"/>
      <c r="L24" s="298" t="s">
        <v>127</v>
      </c>
      <c r="M24" s="334"/>
      <c r="N24" s="160" t="s">
        <v>127</v>
      </c>
      <c r="O24" s="298" t="s">
        <v>127</v>
      </c>
      <c r="P24" s="299"/>
      <c r="Q24" s="298" t="s">
        <v>127</v>
      </c>
      <c r="R24" s="334"/>
      <c r="S24" s="160" t="s">
        <v>127</v>
      </c>
      <c r="T24" s="298" t="s">
        <v>127</v>
      </c>
      <c r="U24" s="299"/>
      <c r="V24" s="298" t="s">
        <v>127</v>
      </c>
      <c r="W24" s="299"/>
      <c r="X24" s="298" t="s">
        <v>127</v>
      </c>
      <c r="Y24" s="299"/>
      <c r="Z24" s="298" t="s">
        <v>127</v>
      </c>
      <c r="AA24" s="321"/>
      <c r="AB24" s="322" t="s">
        <v>127</v>
      </c>
      <c r="AC24" s="281"/>
      <c r="AD24" s="281" t="s">
        <v>127</v>
      </c>
      <c r="AE24" s="281"/>
      <c r="AF24" s="281" t="s">
        <v>127</v>
      </c>
      <c r="AG24" s="281"/>
      <c r="AH24" s="281" t="s">
        <v>127</v>
      </c>
      <c r="AI24" s="324"/>
      <c r="AJ24" s="325" t="s">
        <v>127</v>
      </c>
      <c r="AK24" s="311"/>
      <c r="AL24" s="311" t="s">
        <v>127</v>
      </c>
      <c r="AM24" s="311"/>
      <c r="AN24" s="311" t="s">
        <v>127</v>
      </c>
      <c r="AO24" s="311"/>
      <c r="AP24" s="311" t="s">
        <v>127</v>
      </c>
      <c r="AQ24" s="312"/>
    </row>
    <row r="25" spans="1:43" ht="31.5" customHeight="1" x14ac:dyDescent="0.25">
      <c r="A25" s="144">
        <v>17</v>
      </c>
      <c r="B25" s="145" t="s">
        <v>144</v>
      </c>
      <c r="C25" s="97" t="s">
        <v>123</v>
      </c>
      <c r="D25" s="98" t="s">
        <v>123</v>
      </c>
      <c r="E25" s="332" t="s">
        <v>123</v>
      </c>
      <c r="F25" s="332"/>
      <c r="G25" s="99" t="s">
        <v>123</v>
      </c>
      <c r="H25" s="333" t="s">
        <v>123</v>
      </c>
      <c r="I25" s="299"/>
      <c r="J25" s="281" t="s">
        <v>123</v>
      </c>
      <c r="K25" s="281"/>
      <c r="L25" s="298" t="s">
        <v>123</v>
      </c>
      <c r="M25" s="334"/>
      <c r="N25" s="160" t="s">
        <v>123</v>
      </c>
      <c r="O25" s="298" t="s">
        <v>123</v>
      </c>
      <c r="P25" s="299"/>
      <c r="Q25" s="298" t="s">
        <v>123</v>
      </c>
      <c r="R25" s="334"/>
      <c r="S25" s="160" t="s">
        <v>123</v>
      </c>
      <c r="T25" s="298" t="s">
        <v>123</v>
      </c>
      <c r="U25" s="299"/>
      <c r="V25" s="298" t="s">
        <v>123</v>
      </c>
      <c r="W25" s="299"/>
      <c r="X25" s="298" t="s">
        <v>123</v>
      </c>
      <c r="Y25" s="299"/>
      <c r="Z25" s="298" t="s">
        <v>123</v>
      </c>
      <c r="AA25" s="321"/>
      <c r="AB25" s="322" t="s">
        <v>123</v>
      </c>
      <c r="AC25" s="281"/>
      <c r="AD25" s="323" t="s">
        <v>231</v>
      </c>
      <c r="AE25" s="281"/>
      <c r="AF25" s="281" t="s">
        <v>123</v>
      </c>
      <c r="AG25" s="281"/>
      <c r="AH25" s="281" t="s">
        <v>123</v>
      </c>
      <c r="AI25" s="324"/>
      <c r="AJ25" s="325" t="s">
        <v>123</v>
      </c>
      <c r="AK25" s="311"/>
      <c r="AL25" s="311" t="s">
        <v>123</v>
      </c>
      <c r="AM25" s="311"/>
      <c r="AN25" s="311" t="s">
        <v>123</v>
      </c>
      <c r="AO25" s="311"/>
      <c r="AP25" s="311" t="s">
        <v>123</v>
      </c>
      <c r="AQ25" s="312"/>
    </row>
    <row r="26" spans="1:43" ht="45.75" customHeight="1" thickBot="1" x14ac:dyDescent="0.3">
      <c r="A26" s="163">
        <v>18</v>
      </c>
      <c r="B26" s="164" t="s">
        <v>145</v>
      </c>
      <c r="C26" s="100" t="s">
        <v>146</v>
      </c>
      <c r="D26" s="101" t="s">
        <v>146</v>
      </c>
      <c r="E26" s="313" t="s">
        <v>146</v>
      </c>
      <c r="F26" s="313"/>
      <c r="G26" s="102" t="s">
        <v>146</v>
      </c>
      <c r="H26" s="314" t="s">
        <v>146</v>
      </c>
      <c r="I26" s="315"/>
      <c r="J26" s="316" t="s">
        <v>146</v>
      </c>
      <c r="K26" s="316"/>
      <c r="L26" s="317" t="s">
        <v>146</v>
      </c>
      <c r="M26" s="318"/>
      <c r="N26" s="165" t="s">
        <v>146</v>
      </c>
      <c r="O26" s="317" t="s">
        <v>146</v>
      </c>
      <c r="P26" s="315"/>
      <c r="Q26" s="317" t="s">
        <v>146</v>
      </c>
      <c r="R26" s="318"/>
      <c r="S26" s="165" t="s">
        <v>146</v>
      </c>
      <c r="T26" s="319" t="s">
        <v>146</v>
      </c>
      <c r="U26" s="320"/>
      <c r="V26" s="319" t="s">
        <v>146</v>
      </c>
      <c r="W26" s="320"/>
      <c r="X26" s="317" t="s">
        <v>146</v>
      </c>
      <c r="Y26" s="315"/>
      <c r="Z26" s="319" t="s">
        <v>146</v>
      </c>
      <c r="AA26" s="330"/>
      <c r="AB26" s="331" t="s">
        <v>146</v>
      </c>
      <c r="AC26" s="310"/>
      <c r="AD26" s="310" t="s">
        <v>146</v>
      </c>
      <c r="AE26" s="310"/>
      <c r="AF26" s="310" t="s">
        <v>146</v>
      </c>
      <c r="AG26" s="310"/>
      <c r="AH26" s="310" t="s">
        <v>146</v>
      </c>
      <c r="AI26" s="326"/>
      <c r="AJ26" s="327" t="s">
        <v>146</v>
      </c>
      <c r="AK26" s="328"/>
      <c r="AL26" s="328" t="s">
        <v>146</v>
      </c>
      <c r="AM26" s="328"/>
      <c r="AN26" s="328" t="s">
        <v>146</v>
      </c>
      <c r="AO26" s="328"/>
      <c r="AP26" s="328" t="s">
        <v>146</v>
      </c>
      <c r="AQ26" s="329"/>
    </row>
    <row r="27" spans="1:43" x14ac:dyDescent="0.25">
      <c r="G27" s="166" t="s">
        <v>203</v>
      </c>
      <c r="H27" s="166"/>
      <c r="I27" s="167">
        <v>18</v>
      </c>
      <c r="J27" s="167">
        <v>19</v>
      </c>
      <c r="K27" s="167"/>
      <c r="L27" s="167">
        <v>19</v>
      </c>
      <c r="M27" s="167"/>
      <c r="N27" s="167">
        <v>18</v>
      </c>
      <c r="O27" s="167">
        <v>19</v>
      </c>
      <c r="P27" s="167"/>
      <c r="Q27" s="167">
        <v>19</v>
      </c>
      <c r="R27" s="167"/>
      <c r="S27" s="167">
        <v>18</v>
      </c>
      <c r="T27" s="167">
        <v>18</v>
      </c>
      <c r="U27" s="167"/>
      <c r="V27" s="167">
        <v>18</v>
      </c>
      <c r="W27" s="167"/>
      <c r="X27" s="167">
        <v>18</v>
      </c>
      <c r="Y27" s="167"/>
      <c r="Z27" s="167">
        <v>19</v>
      </c>
      <c r="AA27" s="167"/>
      <c r="AB27" s="167">
        <v>18</v>
      </c>
      <c r="AC27" s="167"/>
      <c r="AD27" s="167">
        <v>18</v>
      </c>
      <c r="AE27" s="167"/>
      <c r="AF27" s="167">
        <v>18</v>
      </c>
      <c r="AG27" s="167"/>
      <c r="AH27" s="167">
        <v>19</v>
      </c>
      <c r="AI27" s="167"/>
    </row>
    <row r="28" spans="1:43" x14ac:dyDescent="0.25">
      <c r="G28" s="166" t="s">
        <v>204</v>
      </c>
      <c r="H28" s="166"/>
      <c r="I28" s="168">
        <v>18</v>
      </c>
      <c r="J28" s="168">
        <v>18</v>
      </c>
      <c r="K28" s="168"/>
      <c r="L28" s="168">
        <v>19</v>
      </c>
      <c r="M28" s="168"/>
      <c r="N28" s="168">
        <v>17</v>
      </c>
      <c r="O28" s="168">
        <v>18</v>
      </c>
      <c r="P28" s="168"/>
      <c r="Q28" s="168">
        <v>17</v>
      </c>
      <c r="R28" s="168"/>
      <c r="S28" s="168">
        <v>6</v>
      </c>
      <c r="T28" s="168">
        <v>5</v>
      </c>
      <c r="U28" s="168"/>
      <c r="V28" s="168">
        <v>5</v>
      </c>
      <c r="W28" s="168"/>
      <c r="X28" s="168">
        <v>5</v>
      </c>
      <c r="Y28" s="168"/>
      <c r="Z28" s="168">
        <v>4</v>
      </c>
      <c r="AA28" s="168"/>
      <c r="AB28" s="168">
        <v>5</v>
      </c>
      <c r="AC28" s="168"/>
      <c r="AD28" s="168">
        <v>5</v>
      </c>
      <c r="AE28" s="168"/>
      <c r="AF28" s="168">
        <v>5</v>
      </c>
      <c r="AG28" s="168"/>
      <c r="AH28" s="168">
        <v>4</v>
      </c>
      <c r="AI28" s="168"/>
    </row>
    <row r="29" spans="1:43" x14ac:dyDescent="0.25">
      <c r="G29" s="166" t="s">
        <v>205</v>
      </c>
      <c r="H29" s="166"/>
      <c r="I29" s="168">
        <v>0</v>
      </c>
      <c r="J29" s="168">
        <v>1</v>
      </c>
      <c r="K29" s="168"/>
      <c r="L29" s="168">
        <v>0</v>
      </c>
      <c r="M29" s="168"/>
      <c r="N29" s="168">
        <v>1</v>
      </c>
      <c r="O29" s="168">
        <v>1</v>
      </c>
      <c r="P29" s="168"/>
      <c r="Q29" s="168">
        <v>2</v>
      </c>
      <c r="R29" s="168"/>
      <c r="S29" s="168">
        <f>S27-S28</f>
        <v>12</v>
      </c>
      <c r="T29" s="168">
        <f>T27-T28</f>
        <v>13</v>
      </c>
      <c r="U29" s="168"/>
      <c r="V29" s="168">
        <f>V27-V28</f>
        <v>13</v>
      </c>
      <c r="W29" s="168"/>
      <c r="X29" s="168">
        <f>X27-X28</f>
        <v>13</v>
      </c>
      <c r="Y29" s="168"/>
      <c r="Z29" s="168">
        <f>Z27-Z28</f>
        <v>15</v>
      </c>
      <c r="AA29" s="168"/>
      <c r="AB29" s="168">
        <f>AB27-AB28</f>
        <v>13</v>
      </c>
      <c r="AC29" s="168"/>
      <c r="AD29" s="168">
        <f>AD27-AD28</f>
        <v>13</v>
      </c>
      <c r="AE29" s="168"/>
      <c r="AF29" s="168">
        <f>AF27-AF28</f>
        <v>13</v>
      </c>
      <c r="AG29" s="168"/>
      <c r="AH29" s="168">
        <f>AH27-AH28</f>
        <v>15</v>
      </c>
      <c r="AI29" s="168"/>
    </row>
    <row r="30" spans="1:43" x14ac:dyDescent="0.25">
      <c r="G30" s="166" t="s">
        <v>206</v>
      </c>
      <c r="H30" s="166"/>
      <c r="I30" s="169">
        <f>I28/I27</f>
        <v>1</v>
      </c>
      <c r="J30" s="169">
        <f t="shared" ref="J30:Z30" si="0">J28/J27</f>
        <v>0.94736842105263153</v>
      </c>
      <c r="K30" s="169"/>
      <c r="L30" s="169">
        <f t="shared" si="0"/>
        <v>1</v>
      </c>
      <c r="M30" s="169"/>
      <c r="N30" s="169">
        <f t="shared" si="0"/>
        <v>0.94444444444444442</v>
      </c>
      <c r="O30" s="169">
        <f t="shared" si="0"/>
        <v>0.94736842105263153</v>
      </c>
      <c r="P30" s="169"/>
      <c r="Q30" s="169">
        <f t="shared" si="0"/>
        <v>0.89473684210526316</v>
      </c>
      <c r="R30" s="169"/>
      <c r="S30" s="169">
        <f t="shared" si="0"/>
        <v>0.33333333333333331</v>
      </c>
      <c r="T30" s="169">
        <f t="shared" si="0"/>
        <v>0.27777777777777779</v>
      </c>
      <c r="U30" s="169"/>
      <c r="V30" s="169">
        <f t="shared" si="0"/>
        <v>0.27777777777777779</v>
      </c>
      <c r="W30" s="169"/>
      <c r="X30" s="170">
        <f>X28/X27</f>
        <v>0.27777777777777779</v>
      </c>
      <c r="Y30" s="171"/>
      <c r="Z30" s="169">
        <f t="shared" si="0"/>
        <v>0.21052631578947367</v>
      </c>
      <c r="AA30" s="169"/>
      <c r="AB30" s="169">
        <f>AB28/AB27</f>
        <v>0.27777777777777779</v>
      </c>
      <c r="AC30" s="169"/>
      <c r="AD30" s="169">
        <f>AD28/AD27</f>
        <v>0.27777777777777779</v>
      </c>
      <c r="AE30" s="169"/>
      <c r="AF30" s="170">
        <f>AF28/AF27</f>
        <v>0.27777777777777779</v>
      </c>
      <c r="AG30" s="171"/>
      <c r="AH30" s="169">
        <f>AH28/AH27</f>
        <v>0.21052631578947367</v>
      </c>
      <c r="AI30" s="169"/>
    </row>
    <row r="31" spans="1:43" x14ac:dyDescent="0.25">
      <c r="G31" s="166" t="s">
        <v>207</v>
      </c>
      <c r="H31" s="166"/>
      <c r="I31" s="170">
        <f>I29/I27</f>
        <v>0</v>
      </c>
      <c r="J31" s="170">
        <f t="shared" ref="J31:Z31" si="1">J29/J27</f>
        <v>5.2631578947368418E-2</v>
      </c>
      <c r="K31" s="170"/>
      <c r="L31" s="170">
        <f t="shared" si="1"/>
        <v>0</v>
      </c>
      <c r="M31" s="170"/>
      <c r="N31" s="170">
        <f t="shared" si="1"/>
        <v>5.5555555555555552E-2</v>
      </c>
      <c r="O31" s="170">
        <f t="shared" si="1"/>
        <v>5.2631578947368418E-2</v>
      </c>
      <c r="P31" s="170"/>
      <c r="Q31" s="170">
        <f t="shared" si="1"/>
        <v>0.10526315789473684</v>
      </c>
      <c r="R31" s="170"/>
      <c r="S31" s="170">
        <f t="shared" si="1"/>
        <v>0.66666666666666663</v>
      </c>
      <c r="T31" s="170">
        <f t="shared" si="1"/>
        <v>0.72222222222222221</v>
      </c>
      <c r="U31" s="170"/>
      <c r="V31" s="170">
        <f t="shared" si="1"/>
        <v>0.72222222222222221</v>
      </c>
      <c r="W31" s="170"/>
      <c r="X31" s="172">
        <f>X29/X27</f>
        <v>0.72222222222222221</v>
      </c>
      <c r="Y31" s="168"/>
      <c r="Z31" s="170">
        <f t="shared" si="1"/>
        <v>0.78947368421052633</v>
      </c>
      <c r="AA31" s="170"/>
      <c r="AB31" s="170">
        <f>AB29/AB27</f>
        <v>0.72222222222222221</v>
      </c>
      <c r="AC31" s="170"/>
      <c r="AD31" s="170">
        <f>AD29/AD27</f>
        <v>0.72222222222222221</v>
      </c>
      <c r="AE31" s="170"/>
      <c r="AF31" s="172">
        <f>AF29/AF27</f>
        <v>0.72222222222222221</v>
      </c>
      <c r="AG31" s="168"/>
      <c r="AH31" s="170">
        <f>AH29/AH27</f>
        <v>0.78947368421052633</v>
      </c>
      <c r="AI31" s="170"/>
    </row>
    <row r="32" spans="1:43" x14ac:dyDescent="0.25">
      <c r="I32" s="173">
        <f>I30+I31</f>
        <v>1</v>
      </c>
      <c r="J32" s="173">
        <f>J30+J31</f>
        <v>1</v>
      </c>
      <c r="K32" s="173">
        <f>K30+K31</f>
        <v>0</v>
      </c>
      <c r="L32" s="173">
        <f>L30+L31</f>
        <v>1</v>
      </c>
      <c r="M32" s="173"/>
      <c r="N32" s="173">
        <f>N30+N31</f>
        <v>1</v>
      </c>
      <c r="O32" s="173">
        <f>O30+O31</f>
        <v>1</v>
      </c>
      <c r="P32" s="173"/>
      <c r="Q32" s="173">
        <f>Q30+Q31</f>
        <v>1</v>
      </c>
      <c r="R32" s="173"/>
      <c r="S32" s="173">
        <f>S30+S31</f>
        <v>1</v>
      </c>
      <c r="T32" s="173">
        <f>T30+T31</f>
        <v>1</v>
      </c>
      <c r="U32" s="173"/>
      <c r="V32" s="173">
        <f>V30+V31</f>
        <v>1</v>
      </c>
      <c r="W32" s="173"/>
      <c r="X32" s="174">
        <f>X30+X31</f>
        <v>1</v>
      </c>
      <c r="Y32" s="168"/>
      <c r="Z32" s="173">
        <f>Z30+Z31</f>
        <v>1</v>
      </c>
      <c r="AA32" s="173"/>
      <c r="AB32" s="173">
        <f>AB30+AB31</f>
        <v>1</v>
      </c>
      <c r="AC32" s="173"/>
      <c r="AD32" s="173">
        <f>AD30+AD31</f>
        <v>1</v>
      </c>
      <c r="AE32" s="173"/>
      <c r="AF32" s="174">
        <f>AF30+AF31</f>
        <v>1</v>
      </c>
      <c r="AG32" s="168"/>
      <c r="AH32" s="173">
        <f>AH30+AH31</f>
        <v>1</v>
      </c>
      <c r="AI32" s="173"/>
    </row>
  </sheetData>
  <mergeCells count="402">
    <mergeCell ref="A1:B1"/>
    <mergeCell ref="C1:G2"/>
    <mergeCell ref="H1:M2"/>
    <mergeCell ref="N1:R2"/>
    <mergeCell ref="S1:AA1"/>
    <mergeCell ref="AB1:AI1"/>
    <mergeCell ref="AJ1:AQ1"/>
    <mergeCell ref="S2:U2"/>
    <mergeCell ref="V2:AA2"/>
    <mergeCell ref="AB2:AI2"/>
    <mergeCell ref="AJ2:AQ2"/>
    <mergeCell ref="AD3:AE3"/>
    <mergeCell ref="AF3:AG3"/>
    <mergeCell ref="AH3:AI3"/>
    <mergeCell ref="AJ3:AK3"/>
    <mergeCell ref="AL3:AM3"/>
    <mergeCell ref="AN3:AO3"/>
    <mergeCell ref="Q3:R3"/>
    <mergeCell ref="T3:U3"/>
    <mergeCell ref="V3:W3"/>
    <mergeCell ref="X3:Y3"/>
    <mergeCell ref="Z3:AA3"/>
    <mergeCell ref="AB3:AC3"/>
    <mergeCell ref="AL4:AM4"/>
    <mergeCell ref="AN4:AO4"/>
    <mergeCell ref="AP4:AQ4"/>
    <mergeCell ref="C5:G5"/>
    <mergeCell ref="H5:M5"/>
    <mergeCell ref="N5:R5"/>
    <mergeCell ref="S5:AA5"/>
    <mergeCell ref="AB5:AI5"/>
    <mergeCell ref="AJ5:AQ5"/>
    <mergeCell ref="Z4:AA4"/>
    <mergeCell ref="AB4:AC4"/>
    <mergeCell ref="AD4:AE4"/>
    <mergeCell ref="AF4:AG4"/>
    <mergeCell ref="AH4:AI4"/>
    <mergeCell ref="AJ4:AK4"/>
    <mergeCell ref="E4:F4"/>
    <mergeCell ref="H4:I4"/>
    <mergeCell ref="J4:K4"/>
    <mergeCell ref="L4:M4"/>
    <mergeCell ref="O4:P4"/>
    <mergeCell ref="Q4:R4"/>
    <mergeCell ref="T4:U4"/>
    <mergeCell ref="V4:W4"/>
    <mergeCell ref="X4:Y4"/>
    <mergeCell ref="E3:F3"/>
    <mergeCell ref="H3:I3"/>
    <mergeCell ref="J3:K3"/>
    <mergeCell ref="L3:M3"/>
    <mergeCell ref="O3:P3"/>
    <mergeCell ref="AP3:AQ3"/>
    <mergeCell ref="C7:G7"/>
    <mergeCell ref="H7:M7"/>
    <mergeCell ref="N7:R7"/>
    <mergeCell ref="S7:AA7"/>
    <mergeCell ref="AB7:AI7"/>
    <mergeCell ref="AJ7:AQ7"/>
    <mergeCell ref="AF6:AG6"/>
    <mergeCell ref="AH6:AI6"/>
    <mergeCell ref="AJ6:AK6"/>
    <mergeCell ref="AL6:AM6"/>
    <mergeCell ref="AN6:AO6"/>
    <mergeCell ref="AP6:AQ6"/>
    <mergeCell ref="T6:U6"/>
    <mergeCell ref="V6:W6"/>
    <mergeCell ref="X6:Y6"/>
    <mergeCell ref="Z6:AA6"/>
    <mergeCell ref="AB6:AC6"/>
    <mergeCell ref="AD6:AE6"/>
    <mergeCell ref="O8:P8"/>
    <mergeCell ref="Q8:R8"/>
    <mergeCell ref="AP9:AQ9"/>
    <mergeCell ref="AD9:AE9"/>
    <mergeCell ref="AF9:AG9"/>
    <mergeCell ref="AH9:AI9"/>
    <mergeCell ref="AJ9:AK9"/>
    <mergeCell ref="E6:F6"/>
    <mergeCell ref="H6:I6"/>
    <mergeCell ref="J6:K6"/>
    <mergeCell ref="L6:M6"/>
    <mergeCell ref="O6:P6"/>
    <mergeCell ref="Q6:R6"/>
    <mergeCell ref="AH8:AI8"/>
    <mergeCell ref="AJ8:AK8"/>
    <mergeCell ref="AL8:AM8"/>
    <mergeCell ref="AL9:AM9"/>
    <mergeCell ref="AN9:AO9"/>
    <mergeCell ref="Q9:R9"/>
    <mergeCell ref="T9:U9"/>
    <mergeCell ref="V9:W9"/>
    <mergeCell ref="X9:Y9"/>
    <mergeCell ref="Z9:AA9"/>
    <mergeCell ref="AB9:AC9"/>
    <mergeCell ref="E11:F11"/>
    <mergeCell ref="H11:I11"/>
    <mergeCell ref="J11:K11"/>
    <mergeCell ref="L11:M11"/>
    <mergeCell ref="O11:P11"/>
    <mergeCell ref="Q11:R11"/>
    <mergeCell ref="T11:U11"/>
    <mergeCell ref="AN8:AO8"/>
    <mergeCell ref="AP8:AQ8"/>
    <mergeCell ref="E9:F9"/>
    <mergeCell ref="H9:I9"/>
    <mergeCell ref="J9:K9"/>
    <mergeCell ref="L9:M9"/>
    <mergeCell ref="O9:P9"/>
    <mergeCell ref="T8:U8"/>
    <mergeCell ref="V8:W8"/>
    <mergeCell ref="X8:Y8"/>
    <mergeCell ref="AB8:AC8"/>
    <mergeCell ref="AD8:AE8"/>
    <mergeCell ref="AF8:AG8"/>
    <mergeCell ref="E8:F8"/>
    <mergeCell ref="H8:I8"/>
    <mergeCell ref="J8:K8"/>
    <mergeCell ref="L8:M8"/>
    <mergeCell ref="AH11:AI11"/>
    <mergeCell ref="AJ11:AK11"/>
    <mergeCell ref="AL11:AM11"/>
    <mergeCell ref="AN11:AO11"/>
    <mergeCell ref="T10:U10"/>
    <mergeCell ref="V10:W10"/>
    <mergeCell ref="AP11:AQ11"/>
    <mergeCell ref="E12:F12"/>
    <mergeCell ref="H12:I12"/>
    <mergeCell ref="J12:K12"/>
    <mergeCell ref="L12:M12"/>
    <mergeCell ref="O12:P12"/>
    <mergeCell ref="V11:W11"/>
    <mergeCell ref="X11:Y11"/>
    <mergeCell ref="Z11:AA11"/>
    <mergeCell ref="AB11:AC11"/>
    <mergeCell ref="AD11:AE11"/>
    <mergeCell ref="AF11:AG11"/>
    <mergeCell ref="AP12:AQ12"/>
    <mergeCell ref="AD12:AE12"/>
    <mergeCell ref="AF12:AG12"/>
    <mergeCell ref="AH12:AI12"/>
    <mergeCell ref="AJ12:AK12"/>
    <mergeCell ref="AL12:AM12"/>
    <mergeCell ref="AN12:AO12"/>
    <mergeCell ref="Q12:R12"/>
    <mergeCell ref="T12:U12"/>
    <mergeCell ref="V12:W12"/>
    <mergeCell ref="X12:Y12"/>
    <mergeCell ref="Z12:AA12"/>
    <mergeCell ref="E13:F13"/>
    <mergeCell ref="H13:I13"/>
    <mergeCell ref="J13:K13"/>
    <mergeCell ref="L13:M13"/>
    <mergeCell ref="O13:P13"/>
    <mergeCell ref="Q13:R13"/>
    <mergeCell ref="T13:U13"/>
    <mergeCell ref="V13:W13"/>
    <mergeCell ref="X13:Y13"/>
    <mergeCell ref="AB12:AC12"/>
    <mergeCell ref="AL13:AM13"/>
    <mergeCell ref="AN13:AO13"/>
    <mergeCell ref="AP13:AQ13"/>
    <mergeCell ref="E14:F14"/>
    <mergeCell ref="H14:I14"/>
    <mergeCell ref="J14:K14"/>
    <mergeCell ref="L14:M14"/>
    <mergeCell ref="O14:P14"/>
    <mergeCell ref="Q14:R14"/>
    <mergeCell ref="T14:U14"/>
    <mergeCell ref="Z13:AA13"/>
    <mergeCell ref="AB13:AC13"/>
    <mergeCell ref="AD13:AE13"/>
    <mergeCell ref="AF13:AG13"/>
    <mergeCell ref="AH13:AI13"/>
    <mergeCell ref="AJ13:AK13"/>
    <mergeCell ref="AH14:AI14"/>
    <mergeCell ref="AJ14:AK14"/>
    <mergeCell ref="AL14:AM14"/>
    <mergeCell ref="AN14:AO14"/>
    <mergeCell ref="AP14:AQ14"/>
    <mergeCell ref="AD14:AE14"/>
    <mergeCell ref="AF14:AG14"/>
    <mergeCell ref="E15:F15"/>
    <mergeCell ref="H15:I15"/>
    <mergeCell ref="J15:K15"/>
    <mergeCell ref="L15:M15"/>
    <mergeCell ref="O15:P15"/>
    <mergeCell ref="V14:W14"/>
    <mergeCell ref="X14:Y14"/>
    <mergeCell ref="Z14:AA14"/>
    <mergeCell ref="AB14:AC14"/>
    <mergeCell ref="AP15:AQ15"/>
    <mergeCell ref="AD15:AE15"/>
    <mergeCell ref="AF15:AG15"/>
    <mergeCell ref="AH15:AI15"/>
    <mergeCell ref="AJ15:AK15"/>
    <mergeCell ref="AL15:AM15"/>
    <mergeCell ref="AN15:AO15"/>
    <mergeCell ref="Q15:R15"/>
    <mergeCell ref="T15:U15"/>
    <mergeCell ref="V15:W15"/>
    <mergeCell ref="X15:Y15"/>
    <mergeCell ref="Z15:AA15"/>
    <mergeCell ref="AB15:AC15"/>
    <mergeCell ref="Z16:AA16"/>
    <mergeCell ref="AB16:AC16"/>
    <mergeCell ref="E16:F16"/>
    <mergeCell ref="H16:I16"/>
    <mergeCell ref="J16:K16"/>
    <mergeCell ref="L16:M16"/>
    <mergeCell ref="O16:P16"/>
    <mergeCell ref="Q16:R16"/>
    <mergeCell ref="T16:U16"/>
    <mergeCell ref="V16:W16"/>
    <mergeCell ref="X16:Y16"/>
    <mergeCell ref="AD16:AE16"/>
    <mergeCell ref="AF16:AG16"/>
    <mergeCell ref="AH16:AI16"/>
    <mergeCell ref="AJ16:AK16"/>
    <mergeCell ref="AH17:AI17"/>
    <mergeCell ref="AJ17:AK17"/>
    <mergeCell ref="AL17:AM17"/>
    <mergeCell ref="AN17:AO17"/>
    <mergeCell ref="AP17:AQ17"/>
    <mergeCell ref="AD17:AE17"/>
    <mergeCell ref="AF17:AG17"/>
    <mergeCell ref="AL16:AM16"/>
    <mergeCell ref="AN16:AO16"/>
    <mergeCell ref="AP16:AQ16"/>
    <mergeCell ref="E18:F18"/>
    <mergeCell ref="H18:I18"/>
    <mergeCell ref="J18:K18"/>
    <mergeCell ref="L18:M18"/>
    <mergeCell ref="O18:P18"/>
    <mergeCell ref="V17:W17"/>
    <mergeCell ref="X17:Y17"/>
    <mergeCell ref="Z17:AA17"/>
    <mergeCell ref="AB17:AC17"/>
    <mergeCell ref="E17:F17"/>
    <mergeCell ref="H17:I17"/>
    <mergeCell ref="J17:K17"/>
    <mergeCell ref="L17:M17"/>
    <mergeCell ref="O17:P17"/>
    <mergeCell ref="Q17:R17"/>
    <mergeCell ref="T17:U17"/>
    <mergeCell ref="AP18:AQ18"/>
    <mergeCell ref="E19:F19"/>
    <mergeCell ref="H19:I19"/>
    <mergeCell ref="J19:K19"/>
    <mergeCell ref="L19:M19"/>
    <mergeCell ref="O19:P19"/>
    <mergeCell ref="Q19:R19"/>
    <mergeCell ref="T19:U19"/>
    <mergeCell ref="V19:W19"/>
    <mergeCell ref="X19:Y19"/>
    <mergeCell ref="AD18:AE18"/>
    <mergeCell ref="AF18:AG18"/>
    <mergeCell ref="AH18:AI18"/>
    <mergeCell ref="AJ18:AK18"/>
    <mergeCell ref="AL18:AM18"/>
    <mergeCell ref="AN18:AO18"/>
    <mergeCell ref="Q18:R18"/>
    <mergeCell ref="T18:U18"/>
    <mergeCell ref="V18:W18"/>
    <mergeCell ref="X18:Y18"/>
    <mergeCell ref="Z18:AA18"/>
    <mergeCell ref="AB18:AC18"/>
    <mergeCell ref="AL19:AM19"/>
    <mergeCell ref="AN19:AO19"/>
    <mergeCell ref="AP19:AQ19"/>
    <mergeCell ref="E20:F20"/>
    <mergeCell ref="H20:I20"/>
    <mergeCell ref="J20:K20"/>
    <mergeCell ref="L20:M20"/>
    <mergeCell ref="O20:P20"/>
    <mergeCell ref="Q20:R20"/>
    <mergeCell ref="T20:U20"/>
    <mergeCell ref="Z19:AA19"/>
    <mergeCell ref="AB19:AC19"/>
    <mergeCell ref="AD19:AE19"/>
    <mergeCell ref="AF19:AG19"/>
    <mergeCell ref="AH19:AI19"/>
    <mergeCell ref="AJ19:AK19"/>
    <mergeCell ref="AH20:AI20"/>
    <mergeCell ref="AJ20:AK20"/>
    <mergeCell ref="AL20:AM20"/>
    <mergeCell ref="AN20:AO20"/>
    <mergeCell ref="AP20:AQ20"/>
    <mergeCell ref="AD20:AE20"/>
    <mergeCell ref="AF20:AG20"/>
    <mergeCell ref="E21:F21"/>
    <mergeCell ref="H21:I21"/>
    <mergeCell ref="J21:K21"/>
    <mergeCell ref="L21:M21"/>
    <mergeCell ref="O21:P21"/>
    <mergeCell ref="V20:W20"/>
    <mergeCell ref="X20:Y20"/>
    <mergeCell ref="Z20:AA20"/>
    <mergeCell ref="AB20:AC20"/>
    <mergeCell ref="AP21:AQ21"/>
    <mergeCell ref="E22:F22"/>
    <mergeCell ref="H22:I22"/>
    <mergeCell ref="J22:K22"/>
    <mergeCell ref="L22:M22"/>
    <mergeCell ref="O22:P22"/>
    <mergeCell ref="Q22:R22"/>
    <mergeCell ref="T22:U22"/>
    <mergeCell ref="V22:W22"/>
    <mergeCell ref="X22:Y22"/>
    <mergeCell ref="AD21:AE21"/>
    <mergeCell ref="AF21:AG21"/>
    <mergeCell ref="AH21:AI21"/>
    <mergeCell ref="AJ21:AK21"/>
    <mergeCell ref="AL21:AM21"/>
    <mergeCell ref="AN21:AO21"/>
    <mergeCell ref="Q21:R21"/>
    <mergeCell ref="T21:U21"/>
    <mergeCell ref="V21:W21"/>
    <mergeCell ref="X21:Y21"/>
    <mergeCell ref="Z21:AA21"/>
    <mergeCell ref="AB21:AC21"/>
    <mergeCell ref="AL22:AM22"/>
    <mergeCell ref="AN22:AO22"/>
    <mergeCell ref="AP22:AQ22"/>
    <mergeCell ref="E23:F23"/>
    <mergeCell ref="H23:I23"/>
    <mergeCell ref="J23:K23"/>
    <mergeCell ref="L23:M23"/>
    <mergeCell ref="O23:P23"/>
    <mergeCell ref="Q23:R23"/>
    <mergeCell ref="T23:U23"/>
    <mergeCell ref="Z22:AA22"/>
    <mergeCell ref="AB22:AC22"/>
    <mergeCell ref="AD22:AE22"/>
    <mergeCell ref="AF22:AG22"/>
    <mergeCell ref="AH22:AI22"/>
    <mergeCell ref="AJ22:AK22"/>
    <mergeCell ref="AH23:AI23"/>
    <mergeCell ref="AJ23:AK23"/>
    <mergeCell ref="AL23:AM23"/>
    <mergeCell ref="AN23:AO23"/>
    <mergeCell ref="AP23:AQ23"/>
    <mergeCell ref="AD23:AE23"/>
    <mergeCell ref="AF23:AG23"/>
    <mergeCell ref="AN25:AO25"/>
    <mergeCell ref="E24:F24"/>
    <mergeCell ref="H24:I24"/>
    <mergeCell ref="J24:K24"/>
    <mergeCell ref="L24:M24"/>
    <mergeCell ref="O24:P24"/>
    <mergeCell ref="V23:W23"/>
    <mergeCell ref="X23:Y23"/>
    <mergeCell ref="Z23:AA23"/>
    <mergeCell ref="AB23:AC23"/>
    <mergeCell ref="AD26:AE26"/>
    <mergeCell ref="AP24:AQ24"/>
    <mergeCell ref="E25:F25"/>
    <mergeCell ref="H25:I25"/>
    <mergeCell ref="J25:K25"/>
    <mergeCell ref="L25:M25"/>
    <mergeCell ref="O25:P25"/>
    <mergeCell ref="Q25:R25"/>
    <mergeCell ref="T25:U25"/>
    <mergeCell ref="V25:W25"/>
    <mergeCell ref="X25:Y25"/>
    <mergeCell ref="AD24:AE24"/>
    <mergeCell ref="AF24:AG24"/>
    <mergeCell ref="AH24:AI24"/>
    <mergeCell ref="AJ24:AK24"/>
    <mergeCell ref="AL24:AM24"/>
    <mergeCell ref="AN24:AO24"/>
    <mergeCell ref="Q24:R24"/>
    <mergeCell ref="T24:U24"/>
    <mergeCell ref="V24:W24"/>
    <mergeCell ref="X24:Y24"/>
    <mergeCell ref="Z24:AA24"/>
    <mergeCell ref="AB24:AC24"/>
    <mergeCell ref="AL25:AM25"/>
    <mergeCell ref="AF26:AG26"/>
    <mergeCell ref="AP25:AQ25"/>
    <mergeCell ref="E26:F26"/>
    <mergeCell ref="H26:I26"/>
    <mergeCell ref="J26:K26"/>
    <mergeCell ref="L26:M26"/>
    <mergeCell ref="O26:P26"/>
    <mergeCell ref="Q26:R26"/>
    <mergeCell ref="T26:U26"/>
    <mergeCell ref="Z25:AA25"/>
    <mergeCell ref="AB25:AC25"/>
    <mergeCell ref="AD25:AE25"/>
    <mergeCell ref="AF25:AG25"/>
    <mergeCell ref="AH25:AI25"/>
    <mergeCell ref="AJ25:AK25"/>
    <mergeCell ref="AH26:AI26"/>
    <mergeCell ref="AJ26:AK26"/>
    <mergeCell ref="AL26:AM26"/>
    <mergeCell ref="AN26:AO26"/>
    <mergeCell ref="AP26:AQ26"/>
    <mergeCell ref="V26:W26"/>
    <mergeCell ref="X26:Y26"/>
    <mergeCell ref="Z26:AA26"/>
    <mergeCell ref="AB26:AC26"/>
  </mergeCells>
  <printOptions horizontalCentered="1" verticalCentered="1"/>
  <pageMargins left="0.25" right="0.25" top="0.75" bottom="0.75" header="0.3" footer="0.3"/>
  <pageSetup scale="56" orientation="landscape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J38"/>
  <sheetViews>
    <sheetView topLeftCell="E1" zoomScale="70" zoomScaleNormal="70" workbookViewId="0">
      <selection activeCell="F3" sqref="F3:K3"/>
    </sheetView>
  </sheetViews>
  <sheetFormatPr defaultColWidth="9.140625" defaultRowHeight="15" x14ac:dyDescent="0.25"/>
  <cols>
    <col min="2" max="2" width="35.85546875" customWidth="1"/>
    <col min="3" max="3" width="25" customWidth="1"/>
    <col min="4" max="4" width="27.5703125" bestFit="1" customWidth="1"/>
    <col min="5" max="5" width="27.5703125" customWidth="1"/>
    <col min="6" max="11" width="68.140625" customWidth="1"/>
  </cols>
  <sheetData>
    <row r="1" spans="1:10" x14ac:dyDescent="0.25">
      <c r="C1" s="143" t="s">
        <v>123</v>
      </c>
      <c r="D1" s="152" t="s">
        <v>200</v>
      </c>
      <c r="E1" s="152"/>
      <c r="F1" s="160" t="s">
        <v>127</v>
      </c>
      <c r="G1" s="160" t="s">
        <v>129</v>
      </c>
      <c r="H1" s="160" t="s">
        <v>132</v>
      </c>
      <c r="I1" s="160" t="s">
        <v>139</v>
      </c>
      <c r="J1" s="160" t="s">
        <v>202</v>
      </c>
    </row>
    <row r="2" spans="1:10" ht="60" x14ac:dyDescent="0.25">
      <c r="A2" s="176">
        <v>1</v>
      </c>
      <c r="B2" s="177" t="s">
        <v>122</v>
      </c>
      <c r="C2" s="178" t="s">
        <v>208</v>
      </c>
    </row>
    <row r="3" spans="1:10" ht="60" x14ac:dyDescent="0.25">
      <c r="A3" s="176">
        <v>2</v>
      </c>
      <c r="B3" s="177" t="s">
        <v>124</v>
      </c>
      <c r="D3" s="178" t="s">
        <v>209</v>
      </c>
      <c r="E3" s="178" t="s">
        <v>223</v>
      </c>
    </row>
    <row r="4" spans="1:10" ht="45" x14ac:dyDescent="0.25">
      <c r="A4" s="176">
        <v>3</v>
      </c>
      <c r="B4" s="177" t="s">
        <v>126</v>
      </c>
      <c r="F4" s="178" t="s">
        <v>210</v>
      </c>
    </row>
    <row r="5" spans="1:10" ht="30" x14ac:dyDescent="0.25">
      <c r="A5" s="176">
        <v>4</v>
      </c>
      <c r="B5" s="177" t="s">
        <v>128</v>
      </c>
      <c r="G5" s="178" t="s">
        <v>224</v>
      </c>
    </row>
    <row r="6" spans="1:10" ht="45" x14ac:dyDescent="0.25">
      <c r="A6" s="176">
        <v>5</v>
      </c>
      <c r="B6" s="177" t="s">
        <v>130</v>
      </c>
      <c r="G6" s="178" t="s">
        <v>211</v>
      </c>
    </row>
    <row r="7" spans="1:10" ht="30" x14ac:dyDescent="0.25">
      <c r="A7" s="176">
        <v>6</v>
      </c>
      <c r="B7" s="177" t="s">
        <v>131</v>
      </c>
      <c r="H7" s="178" t="s">
        <v>225</v>
      </c>
    </row>
    <row r="8" spans="1:10" ht="30" x14ac:dyDescent="0.25">
      <c r="A8" s="176">
        <v>7</v>
      </c>
      <c r="B8" s="177" t="s">
        <v>133</v>
      </c>
      <c r="F8" s="178" t="s">
        <v>212</v>
      </c>
    </row>
    <row r="9" spans="1:10" ht="30" x14ac:dyDescent="0.25">
      <c r="A9" s="176">
        <v>8</v>
      </c>
      <c r="B9" s="177" t="s">
        <v>134</v>
      </c>
      <c r="F9" s="178" t="s">
        <v>213</v>
      </c>
    </row>
    <row r="10" spans="1:10" ht="30" x14ac:dyDescent="0.25">
      <c r="A10" s="176">
        <v>9</v>
      </c>
      <c r="B10" s="177" t="s">
        <v>135</v>
      </c>
      <c r="F10" s="178" t="s">
        <v>214</v>
      </c>
    </row>
    <row r="11" spans="1:10" ht="30" x14ac:dyDescent="0.25">
      <c r="A11" s="176">
        <v>10</v>
      </c>
      <c r="B11" s="177" t="s">
        <v>136</v>
      </c>
      <c r="F11" s="178" t="s">
        <v>214</v>
      </c>
    </row>
    <row r="12" spans="1:10" ht="30" x14ac:dyDescent="0.25">
      <c r="A12" s="176">
        <v>11</v>
      </c>
      <c r="B12" s="177" t="s">
        <v>137</v>
      </c>
      <c r="H12" s="178" t="s">
        <v>215</v>
      </c>
    </row>
    <row r="13" spans="1:10" ht="45" x14ac:dyDescent="0.25">
      <c r="A13" s="176">
        <v>12</v>
      </c>
      <c r="B13" s="177" t="s">
        <v>138</v>
      </c>
      <c r="I13" s="178" t="s">
        <v>216</v>
      </c>
    </row>
    <row r="14" spans="1:10" ht="45" x14ac:dyDescent="0.25">
      <c r="A14" s="176">
        <v>13</v>
      </c>
      <c r="B14" s="177" t="s">
        <v>140</v>
      </c>
      <c r="F14" s="178" t="s">
        <v>217</v>
      </c>
    </row>
    <row r="15" spans="1:10" ht="45" x14ac:dyDescent="0.25">
      <c r="A15" s="176">
        <v>14</v>
      </c>
      <c r="B15" s="177" t="s">
        <v>141</v>
      </c>
      <c r="G15" s="178" t="s">
        <v>218</v>
      </c>
    </row>
    <row r="16" spans="1:10" ht="30" x14ac:dyDescent="0.25">
      <c r="A16" s="176">
        <v>15</v>
      </c>
      <c r="B16" s="177" t="s">
        <v>142</v>
      </c>
      <c r="J16" s="178" t="s">
        <v>219</v>
      </c>
    </row>
    <row r="17" spans="1:8" ht="30" x14ac:dyDescent="0.25">
      <c r="A17" s="176">
        <v>16</v>
      </c>
      <c r="B17" s="177" t="s">
        <v>143</v>
      </c>
      <c r="F17" s="178" t="s">
        <v>220</v>
      </c>
    </row>
    <row r="18" spans="1:8" ht="60" x14ac:dyDescent="0.25">
      <c r="A18" s="176">
        <v>17</v>
      </c>
      <c r="B18" s="177" t="s">
        <v>144</v>
      </c>
      <c r="C18" s="178" t="s">
        <v>221</v>
      </c>
    </row>
    <row r="19" spans="1:8" ht="38.25" x14ac:dyDescent="0.25">
      <c r="A19" s="176">
        <v>18</v>
      </c>
      <c r="B19" s="177" t="s">
        <v>145</v>
      </c>
      <c r="H19" s="178" t="s">
        <v>222</v>
      </c>
    </row>
    <row r="26" spans="1:8" x14ac:dyDescent="0.25">
      <c r="B26" t="s">
        <v>234</v>
      </c>
      <c r="C26" t="s">
        <v>233</v>
      </c>
    </row>
    <row r="27" spans="1:8" x14ac:dyDescent="0.25">
      <c r="B27" t="s">
        <v>235</v>
      </c>
      <c r="C27" t="s">
        <v>236</v>
      </c>
    </row>
    <row r="28" spans="1:8" x14ac:dyDescent="0.25">
      <c r="B28" t="s">
        <v>237</v>
      </c>
      <c r="C28" t="s">
        <v>238</v>
      </c>
    </row>
    <row r="29" spans="1:8" x14ac:dyDescent="0.25">
      <c r="B29" t="s">
        <v>239</v>
      </c>
      <c r="C29" t="s">
        <v>240</v>
      </c>
    </row>
    <row r="30" spans="1:8" x14ac:dyDescent="0.25">
      <c r="B30" t="s">
        <v>241</v>
      </c>
      <c r="C30" t="s">
        <v>242</v>
      </c>
    </row>
    <row r="31" spans="1:8" x14ac:dyDescent="0.25">
      <c r="B31" t="s">
        <v>245</v>
      </c>
      <c r="C31" s="182" t="s">
        <v>244</v>
      </c>
    </row>
    <row r="32" spans="1:8" x14ac:dyDescent="0.25">
      <c r="B32" t="s">
        <v>246</v>
      </c>
      <c r="C32" t="s">
        <v>247</v>
      </c>
    </row>
    <row r="33" spans="2:4" x14ac:dyDescent="0.25">
      <c r="B33" t="s">
        <v>248</v>
      </c>
      <c r="C33" t="s">
        <v>249</v>
      </c>
      <c r="D33" s="178"/>
    </row>
    <row r="34" spans="2:4" x14ac:dyDescent="0.25">
      <c r="B34" t="s">
        <v>250</v>
      </c>
      <c r="C34" t="s">
        <v>251</v>
      </c>
    </row>
    <row r="35" spans="2:4" x14ac:dyDescent="0.25">
      <c r="B35" t="s">
        <v>252</v>
      </c>
      <c r="C35" t="s">
        <v>253</v>
      </c>
    </row>
    <row r="36" spans="2:4" x14ac:dyDescent="0.25">
      <c r="B36" t="s">
        <v>254</v>
      </c>
      <c r="C36" t="s">
        <v>255</v>
      </c>
    </row>
    <row r="37" spans="2:4" x14ac:dyDescent="0.25">
      <c r="B37" t="s">
        <v>257</v>
      </c>
      <c r="C37" t="s">
        <v>256</v>
      </c>
    </row>
    <row r="38" spans="2:4" x14ac:dyDescent="0.25">
      <c r="B38" t="s">
        <v>257</v>
      </c>
      <c r="C38" s="182" t="s">
        <v>256</v>
      </c>
    </row>
  </sheetData>
  <hyperlinks>
    <hyperlink ref="C31" r:id="rId1" xr:uid="{00000000-0004-0000-0900-000000000000}"/>
    <hyperlink ref="C38" r:id="rId2" xr:uid="{00000000-0004-0000-0900-000001000000}"/>
  </hyperlinks>
  <pageMargins left="0.7" right="0.7" top="0.75" bottom="0.75" header="0.3" footer="0.3"/>
  <pageSetup paperSize="9"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Props1.xml><?xml version="1.0" encoding="utf-8"?>
<ds:datastoreItem xmlns:ds="http://schemas.openxmlformats.org/officeDocument/2006/customXml" ds:itemID="{82F8821B-46DE-4771-A2AC-91297AC827DF}">
  <ds:schemaRefs/>
</ds:datastoreItem>
</file>

<file path=customXml/itemProps2.xml><?xml version="1.0" encoding="utf-8"?>
<ds:datastoreItem xmlns:ds="http://schemas.openxmlformats.org/officeDocument/2006/customXml" ds:itemID="{3FE43905-7DC1-4EC7-8BFF-E20CAA8E93DE}">
  <ds:schemaRefs/>
</ds:datastoreItem>
</file>

<file path=customXml/itemProps3.xml><?xml version="1.0" encoding="utf-8"?>
<ds:datastoreItem xmlns:ds="http://schemas.openxmlformats.org/officeDocument/2006/customXml" ds:itemID="{6E998E75-AE4A-4CEA-9689-CF11EF7F9B9E}">
  <ds:schemaRefs/>
</ds:datastoreItem>
</file>

<file path=customXml/itemProps4.xml><?xml version="1.0" encoding="utf-8"?>
<ds:datastoreItem xmlns:ds="http://schemas.openxmlformats.org/officeDocument/2006/customXml" ds:itemID="{4E54561D-B6C4-478E-90D1-6E65E8C06351}">
  <ds:schemaRefs/>
</ds:datastoreItem>
</file>

<file path=customXml/itemProps5.xml><?xml version="1.0" encoding="utf-8"?>
<ds:datastoreItem xmlns:ds="http://schemas.openxmlformats.org/officeDocument/2006/customXml" ds:itemID="{B076F6EE-107E-420E-B8B9-1CAAC83D938B}">
  <ds:schemaRefs/>
</ds:datastoreItem>
</file>

<file path=customXml/itemProps6.xml><?xml version="1.0" encoding="utf-8"?>
<ds:datastoreItem xmlns:ds="http://schemas.openxmlformats.org/officeDocument/2006/customXml" ds:itemID="{42AA406E-174F-4404-863F-30F165AF8133}">
  <ds:schemaRefs/>
</ds:datastoreItem>
</file>

<file path=customXml/itemProps7.xml><?xml version="1.0" encoding="utf-8"?>
<ds:datastoreItem xmlns:ds="http://schemas.openxmlformats.org/officeDocument/2006/customXml" ds:itemID="{FE642ED5-1CD5-464A-B0D4-2D10B1AB4891}">
  <ds:schemaRefs/>
</ds:datastoreItem>
</file>

<file path=customXml/itemProps8.xml><?xml version="1.0" encoding="utf-8"?>
<ds:datastoreItem xmlns:ds="http://schemas.openxmlformats.org/officeDocument/2006/customXml" ds:itemID="{CD278FBA-D2CC-4240-9E05-7F6206043CA8}">
  <ds:schemaRefs/>
</ds:datastoreItem>
</file>

<file path=customXml/itemProps9.xml><?xml version="1.0" encoding="utf-8"?>
<ds:datastoreItem xmlns:ds="http://schemas.openxmlformats.org/officeDocument/2006/customXml" ds:itemID="{24E0CF1D-5BB7-4336-BAB1-CF311B12D197}">
  <ds:schemaRefs/>
</ds:datastoreItem>
</file>

<file path=customXml/itemProps10.xml><?xml version="1.0" encoding="utf-8"?>
<ds:datastoreItem xmlns:ds="http://schemas.openxmlformats.org/officeDocument/2006/customXml" ds:itemID="{318F84B8-7C91-4EEF-86AD-21B01797AE32}">
  <ds:schemaRefs/>
</ds:datastoreItem>
</file>

<file path=customXml/itemProps11.xml><?xml version="1.0" encoding="utf-8"?>
<ds:datastoreItem xmlns:ds="http://schemas.openxmlformats.org/officeDocument/2006/customXml" ds:itemID="{992B60F2-70EF-4B87-BAFA-DDC5CC95D055}">
  <ds:schemaRefs/>
</ds:datastoreItem>
</file>

<file path=customXml/itemProps12.xml><?xml version="1.0" encoding="utf-8"?>
<ds:datastoreItem xmlns:ds="http://schemas.openxmlformats.org/officeDocument/2006/customXml" ds:itemID="{00E036B2-B3F2-487E-976B-32AC127CDD8E}">
  <ds:schemaRefs/>
</ds:datastoreItem>
</file>

<file path=customXml/itemProps13.xml><?xml version="1.0" encoding="utf-8"?>
<ds:datastoreItem xmlns:ds="http://schemas.openxmlformats.org/officeDocument/2006/customXml" ds:itemID="{B0967E90-7454-413F-BC23-CA08538C00C3}">
  <ds:schemaRefs>
    <ds:schemaRef ds:uri="http://schemas.microsoft.com/DataMashup"/>
  </ds:schemaRefs>
</ds:datastoreItem>
</file>

<file path=customXml/itemProps14.xml><?xml version="1.0" encoding="utf-8"?>
<ds:datastoreItem xmlns:ds="http://schemas.openxmlformats.org/officeDocument/2006/customXml" ds:itemID="{DC63A356-9F1B-4C25-B197-79191C221348}">
  <ds:schemaRefs/>
</ds:datastoreItem>
</file>

<file path=customXml/itemProps15.xml><?xml version="1.0" encoding="utf-8"?>
<ds:datastoreItem xmlns:ds="http://schemas.openxmlformats.org/officeDocument/2006/customXml" ds:itemID="{3899A61D-48AD-4906-B2BD-B17CD26CFE6B}">
  <ds:schemaRefs/>
</ds:datastoreItem>
</file>

<file path=customXml/itemProps16.xml><?xml version="1.0" encoding="utf-8"?>
<ds:datastoreItem xmlns:ds="http://schemas.openxmlformats.org/officeDocument/2006/customXml" ds:itemID="{B27DE88C-1864-452A-9B2C-C41D487ED104}">
  <ds:schemaRefs/>
</ds:datastoreItem>
</file>

<file path=customXml/itemProps17.xml><?xml version="1.0" encoding="utf-8"?>
<ds:datastoreItem xmlns:ds="http://schemas.openxmlformats.org/officeDocument/2006/customXml" ds:itemID="{0B696D3E-F19E-44B7-863E-3530C1E29907}">
  <ds:schemaRefs/>
</ds:datastoreItem>
</file>

<file path=customXml/itemProps18.xml><?xml version="1.0" encoding="utf-8"?>
<ds:datastoreItem xmlns:ds="http://schemas.openxmlformats.org/officeDocument/2006/customXml" ds:itemID="{D0CFBA3D-F233-4144-A9B8-CEC20D8CBE76}">
  <ds:schemaRefs/>
</ds:datastoreItem>
</file>

<file path=customXml/itemProps19.xml><?xml version="1.0" encoding="utf-8"?>
<ds:datastoreItem xmlns:ds="http://schemas.openxmlformats.org/officeDocument/2006/customXml" ds:itemID="{28965C3E-1901-4712-94A1-F03D90AE07C8}">
  <ds:schemaRefs/>
</ds:datastoreItem>
</file>

<file path=customXml/itemProps20.xml><?xml version="1.0" encoding="utf-8"?>
<ds:datastoreItem xmlns:ds="http://schemas.openxmlformats.org/officeDocument/2006/customXml" ds:itemID="{BCE53408-A31E-467A-B777-877E5249CDE6}">
  <ds:schemaRefs/>
</ds:datastoreItem>
</file>

<file path=customXml/itemProps21.xml><?xml version="1.0" encoding="utf-8"?>
<ds:datastoreItem xmlns:ds="http://schemas.openxmlformats.org/officeDocument/2006/customXml" ds:itemID="{D63DC194-7D2B-4BC2-BBD0-0B0991CC709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Tab_01</vt:lpstr>
      <vt:lpstr>Summary_Qry</vt:lpstr>
      <vt:lpstr>RAP 2025 Rev2</vt:lpstr>
      <vt:lpstr>C1</vt:lpstr>
      <vt:lpstr>C2</vt:lpstr>
      <vt:lpstr>C3</vt:lpstr>
      <vt:lpstr>C4</vt:lpstr>
      <vt:lpstr>Seguimiento</vt:lpstr>
      <vt:lpstr>Firmas y responsabilidades</vt:lpstr>
    </vt:vector>
  </TitlesOfParts>
  <Company>Teva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 Cabrera</dc:creator>
  <cp:lastModifiedBy>Alexis Eduardo Rosas Reyes</cp:lastModifiedBy>
  <cp:lastPrinted>2025-09-22T17:52:14Z</cp:lastPrinted>
  <dcterms:created xsi:type="dcterms:W3CDTF">2025-02-14T21:18:01Z</dcterms:created>
  <dcterms:modified xsi:type="dcterms:W3CDTF">2025-09-26T07:28:07Z</dcterms:modified>
</cp:coreProperties>
</file>